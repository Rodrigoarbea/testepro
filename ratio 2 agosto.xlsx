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31"/>
  <workbookPr/>
  <mc:AlternateContent xmlns:mc="http://schemas.openxmlformats.org/markup-compatibility/2006">
    <mc:Choice Requires="x15">
      <x15ac:absPath xmlns:x15ac="http://schemas.microsoft.com/office/spreadsheetml/2010/11/ac" url="https://d.docs.live.net/2f8b03873558fcd1/Escritorio/ratios/"/>
    </mc:Choice>
  </mc:AlternateContent>
  <xr:revisionPtr revIDLastSave="1299" documentId="14_{9AF5D8BB-5D30-4010-892C-363D90C3EF99}" xr6:coauthVersionLast="47" xr6:coauthVersionMax="47" xr10:uidLastSave="{323EB4BF-52D0-4C10-8D7A-508D3D590838}"/>
  <bookViews>
    <workbookView xWindow="1080" yWindow="1080" windowWidth="17280" windowHeight="8880" firstSheet="3" activeTab="3" xr2:uid="{00000000-000D-0000-FFFF-FFFF00000000}"/>
  </bookViews>
  <sheets>
    <sheet name="Data" sheetId="1" r:id="rId1"/>
    <sheet name="Analisis semanal" sheetId="2" r:id="rId2"/>
    <sheet name="Resumen meses" sheetId="7" r:id="rId3"/>
    <sheet name="Ahorro" sheetId="5" r:id="rId4"/>
    <sheet name="Promedios siempre" sheetId="6" r:id="rId5"/>
    <sheet name="Tipo tours" sheetId="8" r:id="rId6"/>
    <sheet name="Analisis de dias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5" l="1"/>
  <c r="R11" i="7"/>
  <c r="D203" i="2"/>
  <c r="B203" i="2"/>
  <c r="L293" i="1"/>
  <c r="K293" i="1"/>
  <c r="J293" i="1"/>
  <c r="I293" i="1"/>
  <c r="H293" i="1"/>
  <c r="G293" i="1"/>
  <c r="E26" i="5"/>
  <c r="P292" i="1"/>
  <c r="M292" i="1"/>
  <c r="O292" i="1"/>
  <c r="I202" i="2"/>
  <c r="F202" i="2"/>
  <c r="G202" i="2"/>
  <c r="E202" i="2"/>
  <c r="K202" i="2" s="1"/>
  <c r="D202" i="2"/>
  <c r="B202" i="2"/>
  <c r="L292" i="1"/>
  <c r="K292" i="1"/>
  <c r="J292" i="1"/>
  <c r="I292" i="1"/>
  <c r="H292" i="1"/>
  <c r="G292" i="1"/>
  <c r="E25" i="5"/>
  <c r="L198" i="2"/>
  <c r="K198" i="2"/>
  <c r="J198" i="2"/>
  <c r="N285" i="1"/>
  <c r="P285" i="1"/>
  <c r="M285" i="1"/>
  <c r="O285" i="1"/>
  <c r="I198" i="2"/>
  <c r="H198" i="2"/>
  <c r="G198" i="2"/>
  <c r="E198" i="2"/>
  <c r="F198" i="2"/>
  <c r="D201" i="2"/>
  <c r="B201" i="2"/>
  <c r="L290" i="1"/>
  <c r="K290" i="1"/>
  <c r="H290" i="1"/>
  <c r="J290" i="1"/>
  <c r="I290" i="1"/>
  <c r="G290" i="1"/>
  <c r="Q11" i="7"/>
  <c r="L10" i="7"/>
  <c r="N11" i="7"/>
  <c r="P11" i="7"/>
  <c r="T10" i="7"/>
  <c r="O11" i="7"/>
  <c r="J11" i="7"/>
  <c r="G11" i="7"/>
  <c r="U11" i="7" s="1"/>
  <c r="S11" i="7" s="1"/>
  <c r="H11" i="7"/>
  <c r="F11" i="7"/>
  <c r="E11" i="7"/>
  <c r="D200" i="2"/>
  <c r="B200" i="2"/>
  <c r="D199" i="2"/>
  <c r="B199" i="2"/>
  <c r="J289" i="1"/>
  <c r="L289" i="1"/>
  <c r="K289" i="1"/>
  <c r="I289" i="1"/>
  <c r="H289" i="1"/>
  <c r="G289" i="1"/>
  <c r="D11" i="5"/>
  <c r="C17" i="5"/>
  <c r="R10" i="7"/>
  <c r="L288" i="1"/>
  <c r="I288" i="1"/>
  <c r="H288" i="1"/>
  <c r="K288" i="1"/>
  <c r="J288" i="1"/>
  <c r="G288" i="1"/>
  <c r="M10" i="7"/>
  <c r="N9" i="7"/>
  <c r="H10" i="7"/>
  <c r="G10" i="7"/>
  <c r="F10" i="7"/>
  <c r="H285" i="1"/>
  <c r="D198" i="2"/>
  <c r="K285" i="1"/>
  <c r="J285" i="1"/>
  <c r="L285" i="1" s="1"/>
  <c r="B198" i="2" s="1"/>
  <c r="I285" i="1"/>
  <c r="G285" i="1"/>
  <c r="D20" i="5"/>
  <c r="E24" i="5"/>
  <c r="L193" i="2"/>
  <c r="K193" i="2"/>
  <c r="J193" i="2"/>
  <c r="D197" i="2"/>
  <c r="B197" i="2"/>
  <c r="L283" i="1"/>
  <c r="K283" i="1"/>
  <c r="J283" i="1"/>
  <c r="I283" i="1"/>
  <c r="H283" i="1"/>
  <c r="G283" i="1"/>
  <c r="D196" i="2"/>
  <c r="B196" i="2"/>
  <c r="L282" i="1"/>
  <c r="K282" i="1"/>
  <c r="J282" i="1"/>
  <c r="I282" i="1"/>
  <c r="H282" i="1"/>
  <c r="G282" i="1"/>
  <c r="D195" i="2"/>
  <c r="B195" i="2"/>
  <c r="L281" i="1"/>
  <c r="K281" i="1"/>
  <c r="J281" i="1"/>
  <c r="I281" i="1"/>
  <c r="H281" i="1"/>
  <c r="G281" i="1"/>
  <c r="H280" i="1"/>
  <c r="G193" i="2"/>
  <c r="F193" i="2"/>
  <c r="D194" i="2"/>
  <c r="D193" i="2"/>
  <c r="B193" i="2"/>
  <c r="P277" i="1"/>
  <c r="O277" i="1"/>
  <c r="M277" i="1"/>
  <c r="G280" i="1"/>
  <c r="K280" i="1"/>
  <c r="J280" i="1"/>
  <c r="I280" i="1"/>
  <c r="F184" i="2"/>
  <c r="L279" i="1"/>
  <c r="K279" i="1"/>
  <c r="J279" i="1"/>
  <c r="I279" i="1"/>
  <c r="H279" i="1"/>
  <c r="G279" i="1"/>
  <c r="L274" i="1"/>
  <c r="K274" i="1"/>
  <c r="I274" i="1"/>
  <c r="J274" i="1"/>
  <c r="H274" i="1"/>
  <c r="D189" i="2"/>
  <c r="B189" i="2"/>
  <c r="K273" i="1"/>
  <c r="O269" i="1"/>
  <c r="D188" i="2"/>
  <c r="B188" i="2"/>
  <c r="G273" i="1"/>
  <c r="L273" i="1"/>
  <c r="J273" i="1"/>
  <c r="I273" i="1"/>
  <c r="H273" i="1"/>
  <c r="W3" i="7"/>
  <c r="S6" i="7"/>
  <c r="S7" i="7"/>
  <c r="S8" i="7"/>
  <c r="S9" i="7"/>
  <c r="D187" i="2"/>
  <c r="B187" i="2"/>
  <c r="L272" i="1"/>
  <c r="K272" i="1"/>
  <c r="J272" i="1"/>
  <c r="I272" i="1"/>
  <c r="H272" i="1"/>
  <c r="G272" i="1"/>
  <c r="M269" i="1"/>
  <c r="P269" i="1"/>
  <c r="J184" i="2" s="1"/>
  <c r="G184" i="2"/>
  <c r="E184" i="2"/>
  <c r="K184" i="2" s="1"/>
  <c r="L184" i="2"/>
  <c r="D186" i="2"/>
  <c r="B186" i="2"/>
  <c r="G271" i="1"/>
  <c r="L271" i="1"/>
  <c r="K271" i="1"/>
  <c r="J271" i="1"/>
  <c r="I271" i="1"/>
  <c r="H271" i="1"/>
  <c r="K270" i="1"/>
  <c r="L270" i="1"/>
  <c r="D185" i="2"/>
  <c r="B185" i="2"/>
  <c r="J270" i="1"/>
  <c r="I270" i="1"/>
  <c r="H270" i="1"/>
  <c r="G270" i="1"/>
  <c r="D184" i="2"/>
  <c r="D181" i="2"/>
  <c r="B184" i="2"/>
  <c r="I184" i="2" s="1"/>
  <c r="B181" i="2"/>
  <c r="L269" i="1"/>
  <c r="K269" i="1"/>
  <c r="J269" i="1"/>
  <c r="I269" i="1"/>
  <c r="H269" i="1"/>
  <c r="G269" i="1"/>
  <c r="E23" i="5"/>
  <c r="O261" i="1"/>
  <c r="L268" i="1"/>
  <c r="J268" i="1"/>
  <c r="I268" i="1"/>
  <c r="H268" i="1"/>
  <c r="K268" i="1"/>
  <c r="G268" i="1"/>
  <c r="V4" i="7"/>
  <c r="V5" i="7"/>
  <c r="V6" i="7"/>
  <c r="V7" i="7"/>
  <c r="V8" i="7"/>
  <c r="V9" i="7"/>
  <c r="V3" i="7"/>
  <c r="U4" i="7"/>
  <c r="U5" i="7"/>
  <c r="U6" i="7"/>
  <c r="U7" i="7"/>
  <c r="U8" i="7"/>
  <c r="U9" i="7"/>
  <c r="U3" i="7"/>
  <c r="F9" i="7"/>
  <c r="U10" i="7"/>
  <c r="S10" i="7" s="1"/>
  <c r="D179" i="2"/>
  <c r="D180" i="2"/>
  <c r="B179" i="2"/>
  <c r="B180" i="2"/>
  <c r="K267" i="1"/>
  <c r="J267" i="1"/>
  <c r="I267" i="1"/>
  <c r="H267" i="1"/>
  <c r="G267" i="1"/>
  <c r="L266" i="1"/>
  <c r="L267" i="1"/>
  <c r="K266" i="1"/>
  <c r="J266" i="1"/>
  <c r="I266" i="1"/>
  <c r="H266" i="1"/>
  <c r="G266" i="1"/>
  <c r="D178" i="2"/>
  <c r="B178" i="2"/>
  <c r="L265" i="1"/>
  <c r="K265" i="1"/>
  <c r="J265" i="1"/>
  <c r="I265" i="1"/>
  <c r="H265" i="1"/>
  <c r="G265" i="1"/>
  <c r="D177" i="2"/>
  <c r="B177" i="2"/>
  <c r="L264" i="1"/>
  <c r="K264" i="1"/>
  <c r="J264" i="1"/>
  <c r="I263" i="1"/>
  <c r="I264" i="1"/>
  <c r="H264" i="1"/>
  <c r="G264" i="1"/>
  <c r="G175" i="2"/>
  <c r="F175" i="2"/>
  <c r="L175" i="2" s="1"/>
  <c r="P261" i="1"/>
  <c r="P264" i="1"/>
  <c r="O264" i="1"/>
  <c r="M261" i="1"/>
  <c r="D176" i="2"/>
  <c r="B175" i="2"/>
  <c r="K263" i="1"/>
  <c r="J263" i="1"/>
  <c r="L263" i="1" s="1"/>
  <c r="B176" i="2" s="1"/>
  <c r="I175" i="2" s="1"/>
  <c r="H263" i="1"/>
  <c r="G263" i="1"/>
  <c r="F176" i="2"/>
  <c r="E175" i="2"/>
  <c r="K175" i="2" s="1"/>
  <c r="E22" i="5"/>
  <c r="D175" i="2"/>
  <c r="L261" i="1"/>
  <c r="K261" i="1"/>
  <c r="I261" i="1"/>
  <c r="H261" i="1"/>
  <c r="J261" i="1"/>
  <c r="G261" i="1"/>
  <c r="O253" i="1"/>
  <c r="F13" i="5"/>
  <c r="J168" i="2"/>
  <c r="D172" i="2"/>
  <c r="D173" i="2"/>
  <c r="B172" i="2"/>
  <c r="B173" i="2"/>
  <c r="J259" i="1"/>
  <c r="I259" i="1"/>
  <c r="H259" i="1"/>
  <c r="F168" i="2" s="1"/>
  <c r="L168" i="2" s="1"/>
  <c r="G259" i="1"/>
  <c r="K259" i="1"/>
  <c r="D7" i="8" s="1"/>
  <c r="L258" i="1"/>
  <c r="L259" i="1"/>
  <c r="K258" i="1"/>
  <c r="J258" i="1"/>
  <c r="E168" i="2" s="1"/>
  <c r="K168" i="2" s="1"/>
  <c r="I258" i="1"/>
  <c r="H258" i="1"/>
  <c r="G258" i="1"/>
  <c r="D171" i="2"/>
  <c r="B171" i="2"/>
  <c r="G257" i="1"/>
  <c r="K257" i="1"/>
  <c r="L257" i="1"/>
  <c r="J257" i="1"/>
  <c r="I257" i="1"/>
  <c r="H257" i="1"/>
  <c r="O10" i="7"/>
  <c r="D170" i="2"/>
  <c r="B170" i="2"/>
  <c r="L256" i="1"/>
  <c r="J256" i="1"/>
  <c r="I256" i="1"/>
  <c r="H256" i="1"/>
  <c r="G256" i="1"/>
  <c r="K256" i="1"/>
  <c r="P253" i="1"/>
  <c r="J4" i="6" s="1"/>
  <c r="I4" i="6"/>
  <c r="N10" i="7"/>
  <c r="Q9" i="7"/>
  <c r="D13" i="5"/>
  <c r="D169" i="2"/>
  <c r="B169" i="2"/>
  <c r="G255" i="1"/>
  <c r="L255" i="1" s="1"/>
  <c r="J255" i="1"/>
  <c r="I255" i="1"/>
  <c r="H255" i="1"/>
  <c r="K255" i="1"/>
  <c r="C16" i="5"/>
  <c r="R9" i="7"/>
  <c r="D168" i="2"/>
  <c r="B168" i="2"/>
  <c r="L253" i="1"/>
  <c r="K253" i="1"/>
  <c r="H253" i="1"/>
  <c r="I253" i="1"/>
  <c r="J253" i="1"/>
  <c r="G253" i="1"/>
  <c r="E20" i="5"/>
  <c r="E21" i="5"/>
  <c r="L9" i="7"/>
  <c r="D167" i="2"/>
  <c r="B167" i="2"/>
  <c r="O246" i="1"/>
  <c r="L252" i="1"/>
  <c r="K252" i="1"/>
  <c r="J252" i="1"/>
  <c r="I252" i="1"/>
  <c r="H252" i="1"/>
  <c r="G252" i="1"/>
  <c r="F164" i="2"/>
  <c r="L164" i="2" s="1"/>
  <c r="E164" i="2"/>
  <c r="K164" i="2" s="1"/>
  <c r="P246" i="1"/>
  <c r="J164" i="2"/>
  <c r="B164" i="2"/>
  <c r="B165" i="2"/>
  <c r="B166" i="2"/>
  <c r="H164" i="2"/>
  <c r="G164" i="2"/>
  <c r="D166" i="2"/>
  <c r="L251" i="1"/>
  <c r="K251" i="1"/>
  <c r="J251" i="1"/>
  <c r="I251" i="1"/>
  <c r="H251" i="1"/>
  <c r="G251" i="1"/>
  <c r="D165" i="2"/>
  <c r="J249" i="1"/>
  <c r="G249" i="1"/>
  <c r="L249" i="1"/>
  <c r="K249" i="1"/>
  <c r="I249" i="1"/>
  <c r="H249" i="1"/>
  <c r="D164" i="2"/>
  <c r="M246" i="1"/>
  <c r="N246" i="1"/>
  <c r="L246" i="1"/>
  <c r="K246" i="1"/>
  <c r="J246" i="1"/>
  <c r="I246" i="1"/>
  <c r="H246" i="1"/>
  <c r="G246" i="1"/>
  <c r="F62" i="2"/>
  <c r="F79" i="2"/>
  <c r="F86" i="2"/>
  <c r="L86" i="2" s="1"/>
  <c r="F92" i="2"/>
  <c r="F100" i="2"/>
  <c r="F108" i="2"/>
  <c r="T7" i="7" s="1"/>
  <c r="F112" i="2"/>
  <c r="F121" i="2"/>
  <c r="F126" i="2"/>
  <c r="F131" i="2"/>
  <c r="F142" i="2"/>
  <c r="L142" i="2" s="1"/>
  <c r="F148" i="2"/>
  <c r="L148" i="2" s="1"/>
  <c r="F156" i="2"/>
  <c r="L156" i="2" s="1"/>
  <c r="D161" i="2"/>
  <c r="B161" i="2"/>
  <c r="L244" i="1"/>
  <c r="J244" i="1"/>
  <c r="I244" i="1"/>
  <c r="H244" i="1"/>
  <c r="K244" i="1"/>
  <c r="G244" i="1"/>
  <c r="P238" i="1"/>
  <c r="J156" i="2"/>
  <c r="D160" i="2"/>
  <c r="B160" i="2"/>
  <c r="L243" i="1"/>
  <c r="K243" i="1"/>
  <c r="J243" i="1"/>
  <c r="I243" i="1"/>
  <c r="H243" i="1"/>
  <c r="G243" i="1"/>
  <c r="O238" i="1"/>
  <c r="E19" i="5"/>
  <c r="E18" i="5"/>
  <c r="E17" i="5"/>
  <c r="J242" i="1"/>
  <c r="H242" i="1"/>
  <c r="L242" i="1"/>
  <c r="K242" i="1"/>
  <c r="I242" i="1"/>
  <c r="G242" i="1"/>
  <c r="K7" i="5"/>
  <c r="D159" i="2"/>
  <c r="D158" i="2"/>
  <c r="B159" i="2"/>
  <c r="O9" i="7"/>
  <c r="B158" i="2"/>
  <c r="L240" i="1"/>
  <c r="K240" i="1"/>
  <c r="J240" i="1"/>
  <c r="I240" i="1"/>
  <c r="H240" i="1"/>
  <c r="G240" i="1"/>
  <c r="J9" i="7"/>
  <c r="E9" i="7"/>
  <c r="I17" i="5"/>
  <c r="M9" i="7"/>
  <c r="M238" i="1"/>
  <c r="N238" i="1"/>
  <c r="R6" i="7"/>
  <c r="R8" i="7"/>
  <c r="R7" i="7"/>
  <c r="G156" i="2"/>
  <c r="D157" i="2"/>
  <c r="B157" i="2"/>
  <c r="L239" i="1"/>
  <c r="K239" i="1"/>
  <c r="J239" i="1"/>
  <c r="I239" i="1"/>
  <c r="H239" i="1"/>
  <c r="G239" i="1"/>
  <c r="H9" i="7"/>
  <c r="G9" i="7"/>
  <c r="D156" i="2"/>
  <c r="B156" i="2"/>
  <c r="E156" i="2"/>
  <c r="K156" i="2" s="1"/>
  <c r="L238" i="1"/>
  <c r="K238" i="1"/>
  <c r="J238" i="1"/>
  <c r="I238" i="1"/>
  <c r="H238" i="1"/>
  <c r="G238" i="1"/>
  <c r="D154" i="2"/>
  <c r="B154" i="2"/>
  <c r="L237" i="1"/>
  <c r="K237" i="1"/>
  <c r="J237" i="1"/>
  <c r="I237" i="1"/>
  <c r="H237" i="1"/>
  <c r="G237" i="1"/>
  <c r="D153" i="2"/>
  <c r="B153" i="2"/>
  <c r="E142" i="2"/>
  <c r="L236" i="1"/>
  <c r="K236" i="1"/>
  <c r="J236" i="1"/>
  <c r="I236" i="1"/>
  <c r="H236" i="1"/>
  <c r="G236" i="1"/>
  <c r="E11" i="5"/>
  <c r="E148" i="2"/>
  <c r="K148" i="2" s="1"/>
  <c r="P229" i="1"/>
  <c r="J148" i="2"/>
  <c r="D152" i="2"/>
  <c r="B152" i="2"/>
  <c r="O229" i="1"/>
  <c r="L233" i="1"/>
  <c r="K233" i="1"/>
  <c r="J233" i="1"/>
  <c r="I233" i="1"/>
  <c r="H233" i="1"/>
  <c r="G233" i="1"/>
  <c r="D151" i="2"/>
  <c r="B151" i="2"/>
  <c r="L232" i="1"/>
  <c r="K232" i="1"/>
  <c r="J232" i="1"/>
  <c r="I232" i="1"/>
  <c r="H232" i="1"/>
  <c r="G232" i="1"/>
  <c r="H229" i="1"/>
  <c r="I229" i="1"/>
  <c r="J229" i="1"/>
  <c r="H230" i="1"/>
  <c r="I230" i="1"/>
  <c r="J230" i="1"/>
  <c r="H231" i="1"/>
  <c r="G231" i="1"/>
  <c r="I231" i="1"/>
  <c r="J231" i="1"/>
  <c r="G229" i="1"/>
  <c r="G230" i="1"/>
  <c r="L229" i="1"/>
  <c r="B148" i="2"/>
  <c r="L230" i="1"/>
  <c r="B149" i="2"/>
  <c r="L231" i="1"/>
  <c r="B150" i="2"/>
  <c r="G148" i="2"/>
  <c r="K229" i="1"/>
  <c r="K230" i="1"/>
  <c r="K231" i="1"/>
  <c r="M229" i="1"/>
  <c r="N229" i="1"/>
  <c r="D150" i="2"/>
  <c r="H217" i="1"/>
  <c r="H218" i="1"/>
  <c r="H219" i="1"/>
  <c r="H220" i="1"/>
  <c r="H221" i="1"/>
  <c r="H222" i="1"/>
  <c r="H224" i="1"/>
  <c r="H225" i="1"/>
  <c r="D149" i="2"/>
  <c r="D148" i="2"/>
  <c r="G227" i="1"/>
  <c r="K227" i="1"/>
  <c r="D147" i="2"/>
  <c r="J227" i="1"/>
  <c r="L227" i="1"/>
  <c r="B147" i="2"/>
  <c r="I227" i="1"/>
  <c r="I220" i="1"/>
  <c r="J220" i="1"/>
  <c r="G220" i="1"/>
  <c r="L220" i="1"/>
  <c r="B142" i="2"/>
  <c r="I221" i="1"/>
  <c r="J221" i="1"/>
  <c r="G221" i="1"/>
  <c r="L221" i="1"/>
  <c r="B143" i="2"/>
  <c r="J222" i="1"/>
  <c r="G222" i="1"/>
  <c r="L222" i="1"/>
  <c r="B144" i="2"/>
  <c r="J224" i="1"/>
  <c r="L224" i="1"/>
  <c r="B145" i="2"/>
  <c r="I225" i="1"/>
  <c r="J225" i="1"/>
  <c r="L225" i="1"/>
  <c r="B146" i="2"/>
  <c r="G224" i="1"/>
  <c r="G225" i="1"/>
  <c r="P220" i="1"/>
  <c r="O220" i="1"/>
  <c r="J142" i="2"/>
  <c r="K220" i="1"/>
  <c r="K222" i="1"/>
  <c r="K224" i="1"/>
  <c r="K225" i="1"/>
  <c r="M220" i="1"/>
  <c r="N220" i="1"/>
  <c r="D146" i="2"/>
  <c r="D145" i="2"/>
  <c r="I224" i="1"/>
  <c r="H41" i="1"/>
  <c r="H42" i="1"/>
  <c r="H45" i="1"/>
  <c r="H46" i="1"/>
  <c r="H48" i="1"/>
  <c r="F21" i="2"/>
  <c r="H49" i="1"/>
  <c r="H50" i="1"/>
  <c r="H51" i="1"/>
  <c r="H54" i="1"/>
  <c r="H55" i="1"/>
  <c r="J56" i="1"/>
  <c r="I56" i="1"/>
  <c r="H56" i="1"/>
  <c r="H57" i="1"/>
  <c r="F26" i="2"/>
  <c r="L26" i="2" s="1"/>
  <c r="H79" i="1"/>
  <c r="H81" i="1"/>
  <c r="H82" i="1"/>
  <c r="H83" i="1"/>
  <c r="H84" i="1"/>
  <c r="F46" i="2"/>
  <c r="L46" i="2" s="1"/>
  <c r="H67" i="1"/>
  <c r="H71" i="1"/>
  <c r="H72" i="1"/>
  <c r="H73" i="1"/>
  <c r="H74" i="1"/>
  <c r="H75" i="1"/>
  <c r="F40" i="2"/>
  <c r="L40" i="2" s="1"/>
  <c r="H87" i="1"/>
  <c r="H88" i="1"/>
  <c r="H91" i="1"/>
  <c r="H92" i="1"/>
  <c r="H93" i="1"/>
  <c r="H94" i="1"/>
  <c r="H95" i="1"/>
  <c r="F51" i="2"/>
  <c r="H111" i="1"/>
  <c r="H112" i="1"/>
  <c r="H113" i="1"/>
  <c r="H117" i="1"/>
  <c r="H118" i="1"/>
  <c r="H120" i="1"/>
  <c r="H121" i="1"/>
  <c r="H122" i="1"/>
  <c r="H123" i="1"/>
  <c r="H125" i="1"/>
  <c r="H126" i="1"/>
  <c r="H127" i="1"/>
  <c r="H128" i="1"/>
  <c r="H130" i="1"/>
  <c r="F71" i="2"/>
  <c r="L71" i="2" s="1"/>
  <c r="H138" i="1"/>
  <c r="I140" i="1"/>
  <c r="H140" i="1"/>
  <c r="H141" i="1"/>
  <c r="H142" i="1"/>
  <c r="H143" i="1"/>
  <c r="J144" i="1"/>
  <c r="I144" i="1"/>
  <c r="H144" i="1"/>
  <c r="J146" i="1"/>
  <c r="I146" i="1"/>
  <c r="H146" i="1"/>
  <c r="H149" i="1"/>
  <c r="H150" i="1"/>
  <c r="H151" i="1"/>
  <c r="H153" i="1"/>
  <c r="H154" i="1"/>
  <c r="H155" i="1"/>
  <c r="H156" i="1"/>
  <c r="H158" i="1"/>
  <c r="H160" i="1"/>
  <c r="H161" i="1"/>
  <c r="H162" i="1"/>
  <c r="H163" i="1"/>
  <c r="H164" i="1"/>
  <c r="H165" i="1"/>
  <c r="H166" i="1"/>
  <c r="H167" i="1"/>
  <c r="H168" i="1"/>
  <c r="H169" i="1"/>
  <c r="H173" i="1"/>
  <c r="H174" i="1"/>
  <c r="H175" i="1"/>
  <c r="H176" i="1"/>
  <c r="H178" i="1"/>
  <c r="H182" i="1"/>
  <c r="H183" i="1"/>
  <c r="H184" i="1"/>
  <c r="H185" i="1"/>
  <c r="H195" i="1"/>
  <c r="H197" i="1"/>
  <c r="H200" i="1"/>
  <c r="H201" i="1"/>
  <c r="H202" i="1"/>
  <c r="H204" i="1"/>
  <c r="H208" i="1"/>
  <c r="H209" i="1"/>
  <c r="H210" i="1"/>
  <c r="H211" i="1"/>
  <c r="H212" i="1"/>
  <c r="H213" i="1"/>
  <c r="H215" i="1"/>
  <c r="F136" i="2"/>
  <c r="I222" i="1"/>
  <c r="G142" i="2"/>
  <c r="D144" i="2"/>
  <c r="D143" i="2"/>
  <c r="J204" i="1"/>
  <c r="J208" i="1"/>
  <c r="J209" i="1"/>
  <c r="J210" i="1"/>
  <c r="I211" i="1"/>
  <c r="J211" i="1"/>
  <c r="E131" i="2"/>
  <c r="K131" i="2" s="1"/>
  <c r="D142" i="2"/>
  <c r="H35" i="1"/>
  <c r="H36" i="1"/>
  <c r="H38" i="1"/>
  <c r="H59" i="1"/>
  <c r="H60" i="1"/>
  <c r="H61" i="1"/>
  <c r="H62" i="1"/>
  <c r="H63" i="1"/>
  <c r="H65" i="1"/>
  <c r="H66" i="1"/>
  <c r="F4" i="7"/>
  <c r="I18" i="5" s="1"/>
  <c r="H98" i="1"/>
  <c r="H100" i="1"/>
  <c r="F5" i="7"/>
  <c r="I19" i="5" s="1"/>
  <c r="I109" i="1"/>
  <c r="H109" i="1"/>
  <c r="H110" i="1"/>
  <c r="H134" i="1"/>
  <c r="H135" i="1"/>
  <c r="H136" i="1"/>
  <c r="J145" i="1"/>
  <c r="I145" i="1"/>
  <c r="H145" i="1"/>
  <c r="F6" i="7"/>
  <c r="Q6" i="7" s="1"/>
  <c r="F7" i="7"/>
  <c r="I21" i="5" s="1"/>
  <c r="H186" i="1"/>
  <c r="H187" i="1"/>
  <c r="H188" i="1"/>
  <c r="H189" i="1"/>
  <c r="H190" i="1"/>
  <c r="H191" i="1"/>
  <c r="H193" i="1"/>
  <c r="H194" i="1"/>
  <c r="F8" i="7"/>
  <c r="I22" i="5" s="1"/>
  <c r="I217" i="1"/>
  <c r="I218" i="1"/>
  <c r="I219" i="1"/>
  <c r="I35" i="1"/>
  <c r="I36" i="1"/>
  <c r="I38" i="1"/>
  <c r="I41" i="1"/>
  <c r="I42" i="1"/>
  <c r="I45" i="1"/>
  <c r="I46" i="1"/>
  <c r="I48" i="1"/>
  <c r="I49" i="1"/>
  <c r="I50" i="1"/>
  <c r="I51" i="1"/>
  <c r="I54" i="1"/>
  <c r="I55" i="1"/>
  <c r="I57" i="1"/>
  <c r="I59" i="1"/>
  <c r="I60" i="1"/>
  <c r="I61" i="1"/>
  <c r="I62" i="1"/>
  <c r="I63" i="1"/>
  <c r="I65" i="1"/>
  <c r="I66" i="1"/>
  <c r="I67" i="1"/>
  <c r="G4" i="7"/>
  <c r="I71" i="1"/>
  <c r="I72" i="1"/>
  <c r="I73" i="1"/>
  <c r="I74" i="1"/>
  <c r="I75" i="1"/>
  <c r="I79" i="1"/>
  <c r="I81" i="1"/>
  <c r="I82" i="1"/>
  <c r="I83" i="1"/>
  <c r="I84" i="1"/>
  <c r="I87" i="1"/>
  <c r="I88" i="1"/>
  <c r="I91" i="1"/>
  <c r="I92" i="1"/>
  <c r="I93" i="1"/>
  <c r="I94" i="1"/>
  <c r="I95" i="1"/>
  <c r="I98" i="1"/>
  <c r="I100" i="1"/>
  <c r="G5" i="7"/>
  <c r="I110" i="1"/>
  <c r="I111" i="1"/>
  <c r="I112" i="1"/>
  <c r="I113" i="1"/>
  <c r="I118" i="1"/>
  <c r="I120" i="1"/>
  <c r="I121" i="1"/>
  <c r="I122" i="1"/>
  <c r="I123" i="1"/>
  <c r="I126" i="1"/>
  <c r="I127" i="1"/>
  <c r="I128" i="1"/>
  <c r="I130" i="1"/>
  <c r="I134" i="1"/>
  <c r="I135" i="1"/>
  <c r="I136" i="1"/>
  <c r="I138" i="1"/>
  <c r="I141" i="1"/>
  <c r="I142" i="1"/>
  <c r="I143" i="1"/>
  <c r="G6" i="7"/>
  <c r="I149" i="1"/>
  <c r="I150" i="1"/>
  <c r="I151" i="1"/>
  <c r="I153" i="1"/>
  <c r="I154" i="1"/>
  <c r="I155" i="1"/>
  <c r="I156" i="1"/>
  <c r="I158" i="1"/>
  <c r="I160" i="1"/>
  <c r="I161" i="1"/>
  <c r="I162" i="1"/>
  <c r="I163" i="1"/>
  <c r="I164" i="1"/>
  <c r="I165" i="1"/>
  <c r="I166" i="1"/>
  <c r="I167" i="1"/>
  <c r="I168" i="1"/>
  <c r="I173" i="1"/>
  <c r="I174" i="1"/>
  <c r="I175" i="1"/>
  <c r="I176" i="1"/>
  <c r="I178" i="1"/>
  <c r="G7" i="7"/>
  <c r="I182" i="1"/>
  <c r="I183" i="1"/>
  <c r="I184" i="1"/>
  <c r="I185" i="1"/>
  <c r="I186" i="1"/>
  <c r="I187" i="1"/>
  <c r="I188" i="1"/>
  <c r="I189" i="1"/>
  <c r="I190" i="1"/>
  <c r="I191" i="1"/>
  <c r="I193" i="1"/>
  <c r="I195" i="1"/>
  <c r="I197" i="1"/>
  <c r="I200" i="1"/>
  <c r="I201" i="1"/>
  <c r="I202" i="1"/>
  <c r="I204" i="1"/>
  <c r="I208" i="1"/>
  <c r="I209" i="1"/>
  <c r="I210" i="1"/>
  <c r="I212" i="1"/>
  <c r="I213" i="1"/>
  <c r="I215" i="1"/>
  <c r="G8" i="7"/>
  <c r="J217" i="1"/>
  <c r="J218" i="1"/>
  <c r="J219" i="1"/>
  <c r="J35" i="1"/>
  <c r="J36" i="1"/>
  <c r="J38" i="1"/>
  <c r="J41" i="1"/>
  <c r="J42" i="1"/>
  <c r="J45" i="1"/>
  <c r="J46" i="1"/>
  <c r="J48" i="1"/>
  <c r="J49" i="1"/>
  <c r="J50" i="1"/>
  <c r="J51" i="1"/>
  <c r="J54" i="1"/>
  <c r="J55" i="1"/>
  <c r="J57" i="1"/>
  <c r="J59" i="1"/>
  <c r="J60" i="1"/>
  <c r="J61" i="1"/>
  <c r="J62" i="1"/>
  <c r="J63" i="1"/>
  <c r="J65" i="1"/>
  <c r="J66" i="1"/>
  <c r="J67" i="1"/>
  <c r="H4" i="7"/>
  <c r="J71" i="1"/>
  <c r="J72" i="1"/>
  <c r="J73" i="1"/>
  <c r="J74" i="1"/>
  <c r="J75" i="1"/>
  <c r="J79" i="1"/>
  <c r="J81" i="1"/>
  <c r="J82" i="1"/>
  <c r="J83" i="1"/>
  <c r="J84" i="1"/>
  <c r="J87" i="1"/>
  <c r="J88" i="1"/>
  <c r="J91" i="1"/>
  <c r="J92" i="1"/>
  <c r="J93" i="1"/>
  <c r="J94" i="1"/>
  <c r="J95" i="1"/>
  <c r="J98" i="1"/>
  <c r="J100" i="1"/>
  <c r="H5" i="7"/>
  <c r="J109" i="1"/>
  <c r="J110" i="1"/>
  <c r="J111" i="1"/>
  <c r="J112" i="1"/>
  <c r="J113" i="1"/>
  <c r="J117" i="1"/>
  <c r="J118" i="1"/>
  <c r="J120" i="1"/>
  <c r="J121" i="1"/>
  <c r="J122" i="1"/>
  <c r="J125" i="1"/>
  <c r="J126" i="1"/>
  <c r="J127" i="1"/>
  <c r="J128" i="1"/>
  <c r="J130" i="1"/>
  <c r="J134" i="1"/>
  <c r="J135" i="1"/>
  <c r="J136" i="1"/>
  <c r="J138" i="1"/>
  <c r="J140" i="1"/>
  <c r="J141" i="1"/>
  <c r="J142" i="1"/>
  <c r="J143" i="1"/>
  <c r="H6" i="7"/>
  <c r="J149" i="1"/>
  <c r="J150" i="1"/>
  <c r="J151" i="1"/>
  <c r="J153" i="1"/>
  <c r="J154" i="1"/>
  <c r="J155" i="1"/>
  <c r="J156" i="1"/>
  <c r="J158" i="1"/>
  <c r="J160" i="1"/>
  <c r="J161" i="1"/>
  <c r="J162" i="1"/>
  <c r="J163" i="1"/>
  <c r="J164" i="1"/>
  <c r="J165" i="1"/>
  <c r="J166" i="1"/>
  <c r="J167" i="1"/>
  <c r="J168" i="1"/>
  <c r="J169" i="1"/>
  <c r="J173" i="1"/>
  <c r="J174" i="1"/>
  <c r="J175" i="1"/>
  <c r="J176" i="1"/>
  <c r="J178" i="1"/>
  <c r="H7" i="7"/>
  <c r="J182" i="1"/>
  <c r="J183" i="1"/>
  <c r="J184" i="1"/>
  <c r="J185" i="1"/>
  <c r="J186" i="1"/>
  <c r="J187" i="1"/>
  <c r="J188" i="1"/>
  <c r="J189" i="1"/>
  <c r="J190" i="1"/>
  <c r="J191" i="1"/>
  <c r="J193" i="1"/>
  <c r="J194" i="1"/>
  <c r="J195" i="1"/>
  <c r="J197" i="1"/>
  <c r="J200" i="1"/>
  <c r="J201" i="1"/>
  <c r="J202" i="1"/>
  <c r="J212" i="1"/>
  <c r="J213" i="1"/>
  <c r="J215" i="1"/>
  <c r="H8" i="7"/>
  <c r="I8" i="7" s="1"/>
  <c r="Q8" i="7"/>
  <c r="Q7" i="7"/>
  <c r="Q3" i="7"/>
  <c r="G217" i="1"/>
  <c r="L217" i="1"/>
  <c r="B139" i="2"/>
  <c r="G218" i="1"/>
  <c r="L218" i="1"/>
  <c r="B140" i="2"/>
  <c r="G219" i="1"/>
  <c r="L219" i="1"/>
  <c r="B141" i="2"/>
  <c r="G212" i="1"/>
  <c r="G213" i="1"/>
  <c r="G215" i="1"/>
  <c r="P212" i="1"/>
  <c r="O212" i="1"/>
  <c r="J136" i="2"/>
  <c r="K218" i="1"/>
  <c r="D140" i="2"/>
  <c r="K219" i="1"/>
  <c r="D141" i="2"/>
  <c r="K212" i="1"/>
  <c r="K213" i="1"/>
  <c r="K215" i="1"/>
  <c r="K217" i="1"/>
  <c r="M212" i="1"/>
  <c r="N212" i="1"/>
  <c r="G178" i="1"/>
  <c r="L178" i="1"/>
  <c r="B112" i="2"/>
  <c r="G182" i="1"/>
  <c r="L182" i="1"/>
  <c r="B113" i="2"/>
  <c r="G183" i="1"/>
  <c r="L183" i="1"/>
  <c r="B114" i="2"/>
  <c r="G184" i="1"/>
  <c r="L184" i="1"/>
  <c r="B115" i="2"/>
  <c r="G185" i="1"/>
  <c r="L185" i="1"/>
  <c r="B116" i="2"/>
  <c r="G186" i="1"/>
  <c r="L186" i="1"/>
  <c r="B117" i="2"/>
  <c r="G187" i="1"/>
  <c r="L187" i="1"/>
  <c r="B118" i="2"/>
  <c r="G188" i="1"/>
  <c r="L188" i="1"/>
  <c r="B119" i="2"/>
  <c r="G189" i="1"/>
  <c r="L189" i="1"/>
  <c r="B120" i="2"/>
  <c r="G190" i="1"/>
  <c r="L190" i="1"/>
  <c r="B121" i="2"/>
  <c r="G191" i="1"/>
  <c r="L191" i="1"/>
  <c r="B122" i="2"/>
  <c r="G193" i="1"/>
  <c r="L193" i="1"/>
  <c r="B124" i="2"/>
  <c r="L194" i="1"/>
  <c r="B125" i="2"/>
  <c r="G195" i="1"/>
  <c r="L195" i="1"/>
  <c r="B126" i="2"/>
  <c r="G197" i="1"/>
  <c r="L197" i="1"/>
  <c r="B127" i="2"/>
  <c r="L200" i="1"/>
  <c r="B128" i="2"/>
  <c r="G201" i="1"/>
  <c r="L201" i="1"/>
  <c r="B129" i="2"/>
  <c r="G202" i="1"/>
  <c r="L202" i="1"/>
  <c r="B130" i="2"/>
  <c r="G204" i="1"/>
  <c r="L204" i="1"/>
  <c r="B131" i="2"/>
  <c r="G208" i="1"/>
  <c r="L208" i="1"/>
  <c r="B132" i="2"/>
  <c r="G209" i="1"/>
  <c r="L209" i="1"/>
  <c r="B133" i="2"/>
  <c r="G210" i="1"/>
  <c r="L210" i="1"/>
  <c r="B134" i="2"/>
  <c r="G211" i="1"/>
  <c r="L211" i="1"/>
  <c r="B135" i="2"/>
  <c r="L212" i="1"/>
  <c r="B136" i="2"/>
  <c r="L213" i="1"/>
  <c r="B137" i="2"/>
  <c r="L215" i="1"/>
  <c r="B138" i="2"/>
  <c r="O8" i="7"/>
  <c r="N8" i="7"/>
  <c r="K9" i="7"/>
  <c r="E136" i="2"/>
  <c r="H136" i="2" s="1"/>
  <c r="L136" i="2"/>
  <c r="G136" i="2"/>
  <c r="D139" i="2"/>
  <c r="C15" i="5"/>
  <c r="D138" i="2"/>
  <c r="D137" i="2"/>
  <c r="D136" i="2"/>
  <c r="M8" i="7"/>
  <c r="L8" i="7"/>
  <c r="K211" i="1"/>
  <c r="K210" i="1"/>
  <c r="P203" i="1"/>
  <c r="O203" i="1"/>
  <c r="J131" i="2"/>
  <c r="G131" i="2"/>
  <c r="K204" i="1"/>
  <c r="K208" i="1"/>
  <c r="K209" i="1"/>
  <c r="M203" i="1"/>
  <c r="N203" i="1"/>
  <c r="D133" i="2"/>
  <c r="D134" i="2"/>
  <c r="D135" i="2"/>
  <c r="D132" i="2"/>
  <c r="D131" i="2"/>
  <c r="K202" i="1"/>
  <c r="L126" i="2"/>
  <c r="E126" i="2"/>
  <c r="H126" i="2" s="1"/>
  <c r="P195" i="1"/>
  <c r="O195" i="1"/>
  <c r="J126" i="2"/>
  <c r="K195" i="1"/>
  <c r="K197" i="1"/>
  <c r="K200" i="1"/>
  <c r="K201" i="1"/>
  <c r="M195" i="1"/>
  <c r="N195" i="1"/>
  <c r="G126" i="2"/>
  <c r="D129" i="2"/>
  <c r="D130" i="2"/>
  <c r="D128" i="2"/>
  <c r="D127" i="2"/>
  <c r="D126" i="2"/>
  <c r="J34" i="1"/>
  <c r="G34" i="1"/>
  <c r="B17" i="2"/>
  <c r="G35" i="1"/>
  <c r="B18" i="2"/>
  <c r="G36" i="1"/>
  <c r="B19" i="2"/>
  <c r="G38" i="1"/>
  <c r="B20" i="2"/>
  <c r="G41" i="1"/>
  <c r="B21" i="2"/>
  <c r="G42" i="1"/>
  <c r="B22" i="2"/>
  <c r="G45" i="1"/>
  <c r="B23" i="2"/>
  <c r="G46" i="1"/>
  <c r="B24" i="2"/>
  <c r="G48" i="1"/>
  <c r="B25" i="2"/>
  <c r="G49" i="1"/>
  <c r="B26" i="2"/>
  <c r="G50" i="1"/>
  <c r="B27" i="2"/>
  <c r="G51" i="1"/>
  <c r="B28" i="2"/>
  <c r="G54" i="1"/>
  <c r="L54" i="1"/>
  <c r="B29" i="2"/>
  <c r="G55" i="1"/>
  <c r="L55" i="1"/>
  <c r="B30" i="2"/>
  <c r="G56" i="1"/>
  <c r="L56" i="1"/>
  <c r="B31" i="2"/>
  <c r="G57" i="1"/>
  <c r="L57" i="1"/>
  <c r="B32" i="2"/>
  <c r="G59" i="1"/>
  <c r="L59" i="1"/>
  <c r="B33" i="2"/>
  <c r="G60" i="1"/>
  <c r="L60" i="1"/>
  <c r="B34" i="2"/>
  <c r="G61" i="1"/>
  <c r="L61" i="1"/>
  <c r="B35" i="2"/>
  <c r="G62" i="1"/>
  <c r="L62" i="1"/>
  <c r="B36" i="2"/>
  <c r="G63" i="1"/>
  <c r="L63" i="1"/>
  <c r="B37" i="2"/>
  <c r="G65" i="1"/>
  <c r="L65" i="1"/>
  <c r="B38" i="2"/>
  <c r="G66" i="1"/>
  <c r="L66" i="1"/>
  <c r="B39" i="2"/>
  <c r="G67" i="1"/>
  <c r="L67" i="1"/>
  <c r="B40" i="2"/>
  <c r="G71" i="1"/>
  <c r="L71" i="1"/>
  <c r="B41" i="2"/>
  <c r="G72" i="1"/>
  <c r="L72" i="1"/>
  <c r="B42" i="2"/>
  <c r="G73" i="1"/>
  <c r="L73" i="1"/>
  <c r="B43" i="2"/>
  <c r="G74" i="1"/>
  <c r="L74" i="1"/>
  <c r="B44" i="2"/>
  <c r="G75" i="1"/>
  <c r="L75" i="1"/>
  <c r="B45" i="2"/>
  <c r="G79" i="1"/>
  <c r="L79" i="1"/>
  <c r="B46" i="2"/>
  <c r="G81" i="1"/>
  <c r="L81" i="1"/>
  <c r="B47" i="2"/>
  <c r="G82" i="1"/>
  <c r="L82" i="1"/>
  <c r="B48" i="2"/>
  <c r="G83" i="1"/>
  <c r="L83" i="1"/>
  <c r="B49" i="2"/>
  <c r="G87" i="1"/>
  <c r="L87" i="1"/>
  <c r="B50" i="2"/>
  <c r="B51" i="2"/>
  <c r="G88" i="1"/>
  <c r="L88" i="1"/>
  <c r="B52" i="2"/>
  <c r="G91" i="1"/>
  <c r="L91" i="1"/>
  <c r="B53" i="2"/>
  <c r="G92" i="1"/>
  <c r="L92" i="1"/>
  <c r="B54" i="2"/>
  <c r="G93" i="1"/>
  <c r="L93" i="1"/>
  <c r="B55" i="2"/>
  <c r="G94" i="1"/>
  <c r="L94" i="1"/>
  <c r="B56" i="2"/>
  <c r="G95" i="1"/>
  <c r="L95" i="1"/>
  <c r="B57" i="2"/>
  <c r="G98" i="1"/>
  <c r="L98" i="1"/>
  <c r="B58" i="2"/>
  <c r="G100" i="1"/>
  <c r="L100" i="1"/>
  <c r="B59" i="2"/>
  <c r="G109" i="1"/>
  <c r="L109" i="1"/>
  <c r="B60" i="2"/>
  <c r="G110" i="1"/>
  <c r="L110" i="1"/>
  <c r="B61" i="2"/>
  <c r="G111" i="1"/>
  <c r="L111" i="1"/>
  <c r="B62" i="2"/>
  <c r="G112" i="1"/>
  <c r="L112" i="1"/>
  <c r="B63" i="2"/>
  <c r="G113" i="1"/>
  <c r="L113" i="1"/>
  <c r="B64" i="2"/>
  <c r="G117" i="1"/>
  <c r="L117" i="1"/>
  <c r="B65" i="2"/>
  <c r="G118" i="1"/>
  <c r="L118" i="1"/>
  <c r="B66" i="2"/>
  <c r="G120" i="1"/>
  <c r="L120" i="1"/>
  <c r="B67" i="2"/>
  <c r="G121" i="1"/>
  <c r="L121" i="1"/>
  <c r="B68" i="2"/>
  <c r="G122" i="1"/>
  <c r="L122" i="1"/>
  <c r="B69" i="2"/>
  <c r="G123" i="1"/>
  <c r="L123" i="1"/>
  <c r="B70" i="2"/>
  <c r="G125" i="1"/>
  <c r="L125" i="1"/>
  <c r="B71" i="2"/>
  <c r="G126" i="1"/>
  <c r="L126" i="1"/>
  <c r="B72" i="2"/>
  <c r="G127" i="1"/>
  <c r="L127" i="1"/>
  <c r="B73" i="2"/>
  <c r="G128" i="1"/>
  <c r="L128" i="1"/>
  <c r="B74" i="2"/>
  <c r="G130" i="1"/>
  <c r="L130" i="1"/>
  <c r="B75" i="2"/>
  <c r="G134" i="1"/>
  <c r="L134" i="1"/>
  <c r="B76" i="2"/>
  <c r="G135" i="1"/>
  <c r="L135" i="1"/>
  <c r="B77" i="2"/>
  <c r="G136" i="1"/>
  <c r="L136" i="1"/>
  <c r="B78" i="2"/>
  <c r="G138" i="1"/>
  <c r="L138" i="1"/>
  <c r="B79" i="2"/>
  <c r="G140" i="1"/>
  <c r="L140" i="1"/>
  <c r="B80" i="2"/>
  <c r="G141" i="1"/>
  <c r="L141" i="1"/>
  <c r="B81" i="2"/>
  <c r="G142" i="1"/>
  <c r="L142" i="1"/>
  <c r="B82" i="2"/>
  <c r="G143" i="1"/>
  <c r="L143" i="1"/>
  <c r="B83" i="2"/>
  <c r="G144" i="1"/>
  <c r="L144" i="1"/>
  <c r="B84" i="2"/>
  <c r="G145" i="1"/>
  <c r="L145" i="1"/>
  <c r="B85" i="2"/>
  <c r="G146" i="1"/>
  <c r="L146" i="1"/>
  <c r="B86" i="2"/>
  <c r="G149" i="1"/>
  <c r="L149" i="1"/>
  <c r="B87" i="2"/>
  <c r="G150" i="1"/>
  <c r="L150" i="1"/>
  <c r="B88" i="2"/>
  <c r="G151" i="1"/>
  <c r="L151" i="1"/>
  <c r="B89" i="2"/>
  <c r="G153" i="1"/>
  <c r="L153" i="1"/>
  <c r="B91" i="2"/>
  <c r="G154" i="1"/>
  <c r="L154" i="1"/>
  <c r="B92" i="2"/>
  <c r="G155" i="1"/>
  <c r="L155" i="1"/>
  <c r="B93" i="2"/>
  <c r="G156" i="1"/>
  <c r="L156" i="1"/>
  <c r="B94" i="2"/>
  <c r="G158" i="1"/>
  <c r="L158" i="1"/>
  <c r="B96" i="2"/>
  <c r="G160" i="1"/>
  <c r="L160" i="1"/>
  <c r="B98" i="2"/>
  <c r="G161" i="1"/>
  <c r="L161" i="1"/>
  <c r="B99" i="2"/>
  <c r="G162" i="1"/>
  <c r="L162" i="1"/>
  <c r="B100" i="2"/>
  <c r="L163" i="1"/>
  <c r="B101" i="2"/>
  <c r="G164" i="1"/>
  <c r="L164" i="1"/>
  <c r="B102" i="2"/>
  <c r="G165" i="1"/>
  <c r="L165" i="1"/>
  <c r="B103" i="2"/>
  <c r="G166" i="1"/>
  <c r="L166" i="1"/>
  <c r="B104" i="2"/>
  <c r="G167" i="1"/>
  <c r="L167" i="1"/>
  <c r="B105" i="2"/>
  <c r="G168" i="1"/>
  <c r="L168" i="1"/>
  <c r="B106" i="2"/>
  <c r="G169" i="1"/>
  <c r="L169" i="1"/>
  <c r="B107" i="2"/>
  <c r="G173" i="1"/>
  <c r="L173" i="1"/>
  <c r="B108" i="2"/>
  <c r="G174" i="1"/>
  <c r="L174" i="1"/>
  <c r="B109" i="2"/>
  <c r="G175" i="1"/>
  <c r="L175" i="1"/>
  <c r="B110" i="2"/>
  <c r="G176" i="1"/>
  <c r="L176" i="1"/>
  <c r="B111" i="2"/>
  <c r="K194" i="1"/>
  <c r="L121" i="2"/>
  <c r="K193" i="1"/>
  <c r="D124" i="2"/>
  <c r="D125" i="2"/>
  <c r="K191" i="1"/>
  <c r="D122" i="2"/>
  <c r="K190" i="1"/>
  <c r="D121" i="2"/>
  <c r="K189" i="1"/>
  <c r="D120" i="2"/>
  <c r="O186" i="1"/>
  <c r="E121" i="2"/>
  <c r="K121" i="2" s="1"/>
  <c r="K188" i="1"/>
  <c r="D119" i="2"/>
  <c r="K187" i="1"/>
  <c r="D118" i="2"/>
  <c r="P186" i="1"/>
  <c r="J121" i="2"/>
  <c r="G121" i="2"/>
  <c r="K186" i="1"/>
  <c r="M186" i="1"/>
  <c r="N186" i="1"/>
  <c r="D117" i="2"/>
  <c r="K185" i="1"/>
  <c r="D116" i="2"/>
  <c r="K183" i="1"/>
  <c r="D114" i="2"/>
  <c r="K184" i="1"/>
  <c r="D115" i="2"/>
  <c r="J8" i="7"/>
  <c r="E8" i="7"/>
  <c r="D113" i="2"/>
  <c r="C14" i="5"/>
  <c r="L112" i="2"/>
  <c r="E112" i="2"/>
  <c r="K112" i="2"/>
  <c r="P178" i="1"/>
  <c r="O178" i="1"/>
  <c r="J112" i="2"/>
  <c r="K178" i="1"/>
  <c r="M178" i="1"/>
  <c r="N178" i="1"/>
  <c r="H112" i="2"/>
  <c r="G112" i="2"/>
  <c r="D112" i="2"/>
  <c r="K175" i="1"/>
  <c r="D110" i="2"/>
  <c r="K176" i="1"/>
  <c r="D111" i="2"/>
  <c r="L7" i="7"/>
  <c r="K174" i="1"/>
  <c r="D109" i="2"/>
  <c r="E108" i="2"/>
  <c r="K108" i="2" s="1"/>
  <c r="P170" i="1"/>
  <c r="O170" i="1"/>
  <c r="J108" i="2"/>
  <c r="K173" i="1"/>
  <c r="M170" i="1"/>
  <c r="N170" i="1"/>
  <c r="G108" i="2"/>
  <c r="D108" i="2"/>
  <c r="K169" i="1"/>
  <c r="L100" i="2"/>
  <c r="K168" i="1"/>
  <c r="E100" i="2"/>
  <c r="H100" i="2" s="1"/>
  <c r="K167" i="1"/>
  <c r="K166" i="1"/>
  <c r="P162" i="1"/>
  <c r="K162" i="1"/>
  <c r="K163" i="1"/>
  <c r="K164" i="1"/>
  <c r="K165" i="1"/>
  <c r="M162" i="1"/>
  <c r="N162" i="1"/>
  <c r="P154" i="1"/>
  <c r="K154" i="1"/>
  <c r="K155" i="1"/>
  <c r="K156" i="1"/>
  <c r="K158" i="1"/>
  <c r="K160" i="1"/>
  <c r="K161" i="1"/>
  <c r="M154" i="1"/>
  <c r="N154" i="1"/>
  <c r="P4" i="1"/>
  <c r="P11" i="1"/>
  <c r="G19" i="1"/>
  <c r="G21" i="1"/>
  <c r="G23" i="1"/>
  <c r="G24" i="1"/>
  <c r="P18" i="1"/>
  <c r="G27" i="1"/>
  <c r="G29" i="1"/>
  <c r="G31" i="1"/>
  <c r="P26" i="1"/>
  <c r="P33" i="1"/>
  <c r="K41" i="1"/>
  <c r="K42" i="1"/>
  <c r="K45" i="1"/>
  <c r="K46" i="1"/>
  <c r="K48" i="1"/>
  <c r="P40" i="1"/>
  <c r="P49" i="1"/>
  <c r="P58" i="1"/>
  <c r="P67" i="1"/>
  <c r="G84" i="1"/>
  <c r="P77" i="1"/>
  <c r="P85" i="1"/>
  <c r="P96" i="1"/>
  <c r="P103" i="1"/>
  <c r="P111" i="1"/>
  <c r="P124" i="1"/>
  <c r="P131" i="1"/>
  <c r="P138" i="1"/>
  <c r="P146" i="1"/>
  <c r="M40" i="1"/>
  <c r="N40" i="1"/>
  <c r="O146" i="1"/>
  <c r="O40" i="1"/>
  <c r="O49" i="1"/>
  <c r="O58" i="1"/>
  <c r="O67" i="1"/>
  <c r="O77" i="1"/>
  <c r="O96" i="1"/>
  <c r="O103" i="1"/>
  <c r="O111" i="1"/>
  <c r="O124" i="1"/>
  <c r="O131" i="1"/>
  <c r="O138" i="1"/>
  <c r="O154" i="1"/>
  <c r="O162" i="1"/>
  <c r="H4" i="6"/>
  <c r="F17" i="2"/>
  <c r="F33" i="2"/>
  <c r="F58" i="2"/>
  <c r="F60" i="2"/>
  <c r="L60" i="2" s="1"/>
  <c r="F76" i="2"/>
  <c r="L76" i="2" s="1"/>
  <c r="K100" i="2"/>
  <c r="J100" i="2"/>
  <c r="G100" i="2"/>
  <c r="L92" i="2"/>
  <c r="E92" i="2"/>
  <c r="K92" i="2" s="1"/>
  <c r="J92" i="2"/>
  <c r="G92" i="2"/>
  <c r="G86" i="2"/>
  <c r="D100" i="2"/>
  <c r="D101" i="2"/>
  <c r="D102" i="2"/>
  <c r="D103" i="2"/>
  <c r="D104" i="2"/>
  <c r="D105" i="2"/>
  <c r="D106" i="2"/>
  <c r="D107" i="2"/>
  <c r="D92" i="2"/>
  <c r="D93" i="2"/>
  <c r="D94" i="2"/>
  <c r="D96" i="2"/>
  <c r="D98" i="2"/>
  <c r="D99" i="2"/>
  <c r="K151" i="1"/>
  <c r="D89" i="2"/>
  <c r="K153" i="1"/>
  <c r="D91" i="2"/>
  <c r="E86" i="2"/>
  <c r="H86" i="2" s="1"/>
  <c r="K150" i="1"/>
  <c r="M7" i="7"/>
  <c r="F11" i="5"/>
  <c r="D88" i="2"/>
  <c r="K146" i="1"/>
  <c r="K149" i="1"/>
  <c r="J7" i="7"/>
  <c r="D87" i="2"/>
  <c r="M146" i="1"/>
  <c r="E7" i="7"/>
  <c r="O7" i="7"/>
  <c r="D86" i="2"/>
  <c r="J86" i="2"/>
  <c r="I7" i="5"/>
  <c r="K144" i="1"/>
  <c r="K145" i="1"/>
  <c r="D85" i="2"/>
  <c r="K143" i="1"/>
  <c r="D83" i="2"/>
  <c r="I7" i="7"/>
  <c r="N7" i="7"/>
  <c r="N146" i="1"/>
  <c r="D84" i="2"/>
  <c r="K142" i="1"/>
  <c r="K141" i="1"/>
  <c r="D81" i="2"/>
  <c r="K140" i="1"/>
  <c r="D80" i="2"/>
  <c r="D82" i="2"/>
  <c r="E79" i="2"/>
  <c r="K79" i="2" s="1"/>
  <c r="G79" i="2"/>
  <c r="L79" i="2"/>
  <c r="K138" i="1"/>
  <c r="M138" i="1"/>
  <c r="D79" i="2"/>
  <c r="K136" i="1"/>
  <c r="D78" i="2"/>
  <c r="H6" i="5"/>
  <c r="K135" i="1"/>
  <c r="K134" i="1"/>
  <c r="G76" i="2"/>
  <c r="D76" i="2"/>
  <c r="K130" i="1"/>
  <c r="M131" i="1"/>
  <c r="D77" i="2"/>
  <c r="J79" i="2"/>
  <c r="N131" i="1"/>
  <c r="J76" i="2"/>
  <c r="N138" i="1"/>
  <c r="E76" i="2"/>
  <c r="K128" i="1"/>
  <c r="D74" i="2"/>
  <c r="D75" i="2"/>
  <c r="K127" i="1"/>
  <c r="D73" i="2"/>
  <c r="G71" i="2"/>
  <c r="K126" i="1"/>
  <c r="D72" i="2"/>
  <c r="K125" i="1"/>
  <c r="J71" i="2"/>
  <c r="E71" i="2"/>
  <c r="M124" i="1"/>
  <c r="N124" i="1"/>
  <c r="D71" i="2"/>
  <c r="K123" i="1"/>
  <c r="K122" i="1"/>
  <c r="D69" i="2"/>
  <c r="K121" i="1"/>
  <c r="K120" i="1"/>
  <c r="M6" i="7"/>
  <c r="K118" i="1"/>
  <c r="K117" i="1"/>
  <c r="D65" i="2"/>
  <c r="E62" i="2"/>
  <c r="K62" i="2" s="1"/>
  <c r="K113" i="1"/>
  <c r="D64" i="2"/>
  <c r="K112" i="1"/>
  <c r="D63" i="2"/>
  <c r="K111" i="1"/>
  <c r="D62" i="2"/>
  <c r="J60" i="2"/>
  <c r="L6" i="7"/>
  <c r="K110" i="1"/>
  <c r="D61" i="2"/>
  <c r="K109" i="1"/>
  <c r="K100" i="1"/>
  <c r="D59" i="2"/>
  <c r="L5" i="7"/>
  <c r="D60" i="2"/>
  <c r="O6" i="7"/>
  <c r="E6" i="7"/>
  <c r="M111" i="1"/>
  <c r="D67" i="2"/>
  <c r="D70" i="2"/>
  <c r="J6" i="7"/>
  <c r="D66" i="2"/>
  <c r="D68" i="2"/>
  <c r="G60" i="2"/>
  <c r="G62" i="2"/>
  <c r="J62" i="2"/>
  <c r="M103" i="1"/>
  <c r="E60" i="2"/>
  <c r="K60" i="2"/>
  <c r="N103" i="1"/>
  <c r="K98" i="1"/>
  <c r="G58" i="2"/>
  <c r="J58" i="2"/>
  <c r="K95" i="1"/>
  <c r="D57" i="2"/>
  <c r="K94" i="1"/>
  <c r="K93" i="1"/>
  <c r="D55" i="2"/>
  <c r="K92" i="1"/>
  <c r="P7" i="8"/>
  <c r="Q4" i="8"/>
  <c r="D54" i="2"/>
  <c r="N111" i="1"/>
  <c r="M96" i="1"/>
  <c r="V7" i="8"/>
  <c r="N6" i="7"/>
  <c r="L62" i="2"/>
  <c r="W4" i="8"/>
  <c r="E58" i="2"/>
  <c r="H58" i="2" s="1"/>
  <c r="L58" i="2"/>
  <c r="D58" i="2"/>
  <c r="D56" i="2"/>
  <c r="N96" i="1"/>
  <c r="K91" i="1"/>
  <c r="D53" i="2"/>
  <c r="K88" i="1"/>
  <c r="D52" i="2"/>
  <c r="K87" i="1"/>
  <c r="M85" i="1"/>
  <c r="E51" i="2"/>
  <c r="K51" i="2" s="1"/>
  <c r="G51" i="2"/>
  <c r="K84" i="1"/>
  <c r="D50" i="2"/>
  <c r="K83" i="1"/>
  <c r="D49" i="2"/>
  <c r="K82" i="1"/>
  <c r="K81" i="1"/>
  <c r="D47" i="2"/>
  <c r="M5" i="7"/>
  <c r="K79" i="1"/>
  <c r="K75" i="1"/>
  <c r="K74" i="1"/>
  <c r="K73" i="1"/>
  <c r="K72" i="1"/>
  <c r="D42" i="2"/>
  <c r="D46" i="2"/>
  <c r="D48" i="2"/>
  <c r="D51" i="2"/>
  <c r="G46" i="2"/>
  <c r="M77" i="1"/>
  <c r="J51" i="2"/>
  <c r="N85" i="1"/>
  <c r="D43" i="2"/>
  <c r="E46" i="2"/>
  <c r="K46" i="2" s="1"/>
  <c r="D44" i="2"/>
  <c r="J46" i="2"/>
  <c r="L84" i="1"/>
  <c r="D45" i="2"/>
  <c r="K71" i="1"/>
  <c r="J5" i="7"/>
  <c r="H11" i="8"/>
  <c r="B11" i="8"/>
  <c r="K67" i="1"/>
  <c r="K66" i="1"/>
  <c r="K65" i="1"/>
  <c r="D38" i="2"/>
  <c r="D41" i="2"/>
  <c r="O5" i="7"/>
  <c r="G40" i="2"/>
  <c r="J40" i="2"/>
  <c r="M67" i="1"/>
  <c r="N77" i="1"/>
  <c r="N5" i="7"/>
  <c r="E5" i="7"/>
  <c r="D39" i="2"/>
  <c r="E40" i="2"/>
  <c r="K40" i="2" s="1"/>
  <c r="D40" i="2"/>
  <c r="K63" i="1"/>
  <c r="K62" i="1"/>
  <c r="D36" i="2"/>
  <c r="U4" i="8"/>
  <c r="O4" i="8"/>
  <c r="K61" i="1"/>
  <c r="D35" i="2"/>
  <c r="T4" i="8"/>
  <c r="N4" i="8"/>
  <c r="H4" i="8"/>
  <c r="B4" i="8"/>
  <c r="K60" i="1"/>
  <c r="K59" i="1"/>
  <c r="K57" i="1"/>
  <c r="K56" i="1"/>
  <c r="K55" i="1"/>
  <c r="K54" i="1"/>
  <c r="I5" i="7"/>
  <c r="N67" i="1"/>
  <c r="D37" i="2"/>
  <c r="D29" i="2"/>
  <c r="G33" i="2"/>
  <c r="D30" i="2"/>
  <c r="E33" i="2"/>
  <c r="K33" i="2" s="1"/>
  <c r="J33" i="2"/>
  <c r="D34" i="2"/>
  <c r="D33" i="2"/>
  <c r="M58" i="1"/>
  <c r="D32" i="2"/>
  <c r="D31" i="2"/>
  <c r="I3" i="7"/>
  <c r="K51" i="1"/>
  <c r="D28" i="2"/>
  <c r="M4" i="7"/>
  <c r="L4" i="7"/>
  <c r="N58" i="1"/>
  <c r="L51" i="1"/>
  <c r="K49" i="1"/>
  <c r="E4" i="4"/>
  <c r="K50" i="1"/>
  <c r="D27" i="2"/>
  <c r="D25" i="2"/>
  <c r="B4" i="4"/>
  <c r="B5" i="4"/>
  <c r="B6" i="4"/>
  <c r="B7" i="4"/>
  <c r="B8" i="4"/>
  <c r="B9" i="4"/>
  <c r="B10" i="4"/>
  <c r="C4" i="4"/>
  <c r="L48" i="1"/>
  <c r="M49" i="1"/>
  <c r="L50" i="1"/>
  <c r="L49" i="1"/>
  <c r="L46" i="1"/>
  <c r="D24" i="2"/>
  <c r="G26" i="2"/>
  <c r="E26" i="2"/>
  <c r="K26" i="2" s="1"/>
  <c r="D26" i="2"/>
  <c r="J26" i="2"/>
  <c r="E8" i="4"/>
  <c r="C8" i="4"/>
  <c r="D22" i="2"/>
  <c r="I4" i="8"/>
  <c r="D23" i="2"/>
  <c r="L45" i="1"/>
  <c r="L42" i="1"/>
  <c r="N49" i="1"/>
  <c r="H7" i="1"/>
  <c r="I7" i="1"/>
  <c r="G21" i="2"/>
  <c r="K38" i="1"/>
  <c r="D20" i="2"/>
  <c r="K36" i="1"/>
  <c r="O33" i="1"/>
  <c r="K35" i="1"/>
  <c r="E6" i="4"/>
  <c r="C6" i="4"/>
  <c r="K34" i="1"/>
  <c r="K31" i="1"/>
  <c r="J31" i="1"/>
  <c r="I31" i="1"/>
  <c r="H31" i="1"/>
  <c r="O26" i="1"/>
  <c r="K29" i="1"/>
  <c r="I29" i="1"/>
  <c r="H29" i="1"/>
  <c r="K27" i="1"/>
  <c r="J27" i="1"/>
  <c r="I27" i="1"/>
  <c r="H27" i="1"/>
  <c r="D14" i="2"/>
  <c r="K7" i="1"/>
  <c r="K24" i="1"/>
  <c r="K23" i="1"/>
  <c r="K21" i="1"/>
  <c r="K17" i="1"/>
  <c r="D9" i="2"/>
  <c r="K16" i="1"/>
  <c r="D8" i="2"/>
  <c r="K10" i="1"/>
  <c r="D7" i="2"/>
  <c r="K9" i="1"/>
  <c r="D6" i="2"/>
  <c r="K5" i="1"/>
  <c r="O18" i="1"/>
  <c r="J24" i="1"/>
  <c r="I24" i="1"/>
  <c r="H24" i="1"/>
  <c r="J23" i="1"/>
  <c r="H23" i="1"/>
  <c r="I23" i="1"/>
  <c r="C9" i="4"/>
  <c r="J21" i="1"/>
  <c r="I21" i="1"/>
  <c r="H21" i="1"/>
  <c r="C7" i="4"/>
  <c r="L34" i="1"/>
  <c r="D5" i="2"/>
  <c r="J7" i="8"/>
  <c r="J14" i="8"/>
  <c r="C10" i="4"/>
  <c r="I11" i="8"/>
  <c r="D4" i="2"/>
  <c r="D19" i="2"/>
  <c r="L21" i="1"/>
  <c r="L23" i="1"/>
  <c r="L31" i="1"/>
  <c r="L41" i="1"/>
  <c r="D16" i="2"/>
  <c r="L35" i="1"/>
  <c r="L24" i="1"/>
  <c r="J4" i="7"/>
  <c r="K4" i="7" s="1"/>
  <c r="J21" i="2"/>
  <c r="L38" i="1"/>
  <c r="B15" i="2"/>
  <c r="L29" i="1"/>
  <c r="L27" i="1"/>
  <c r="L36" i="1"/>
  <c r="E4" i="7"/>
  <c r="O4" i="7"/>
  <c r="N4" i="7"/>
  <c r="D21" i="2"/>
  <c r="L21" i="2"/>
  <c r="D18" i="2"/>
  <c r="E21" i="2"/>
  <c r="H21" i="2" s="1"/>
  <c r="D13" i="2"/>
  <c r="D12" i="2"/>
  <c r="D17" i="2"/>
  <c r="D15" i="2"/>
  <c r="D11" i="2"/>
  <c r="M33" i="1"/>
  <c r="L17" i="2"/>
  <c r="E14" i="2"/>
  <c r="K14" i="2" s="1"/>
  <c r="B16" i="2"/>
  <c r="G17" i="2"/>
  <c r="E17" i="2"/>
  <c r="K17" i="2" s="1"/>
  <c r="B13" i="2"/>
  <c r="M26" i="1"/>
  <c r="F14" i="2"/>
  <c r="L14" i="2" s="1"/>
  <c r="G14" i="2"/>
  <c r="B14" i="2"/>
  <c r="B12" i="2"/>
  <c r="J14" i="2"/>
  <c r="B11" i="2"/>
  <c r="J19" i="1"/>
  <c r="H19" i="1"/>
  <c r="F10" i="2"/>
  <c r="L10" i="2" s="1"/>
  <c r="I19" i="1"/>
  <c r="G10" i="2"/>
  <c r="K18" i="1"/>
  <c r="K19" i="1"/>
  <c r="D14" i="8"/>
  <c r="M11" i="1"/>
  <c r="M4" i="1"/>
  <c r="J17" i="1"/>
  <c r="H17" i="1"/>
  <c r="I16" i="1"/>
  <c r="J16" i="1"/>
  <c r="J10" i="1"/>
  <c r="J7" i="1"/>
  <c r="E7" i="4"/>
  <c r="J9" i="1"/>
  <c r="J5" i="1"/>
  <c r="O4" i="1"/>
  <c r="O11" i="1"/>
  <c r="E9" i="4"/>
  <c r="E10" i="4"/>
  <c r="C5" i="4"/>
  <c r="C11" i="8"/>
  <c r="C4" i="8"/>
  <c r="K11" i="8"/>
  <c r="K4" i="8"/>
  <c r="E11" i="8"/>
  <c r="E4" i="8"/>
  <c r="E5" i="4"/>
  <c r="L10" i="1"/>
  <c r="L9" i="1"/>
  <c r="L7" i="1"/>
  <c r="L5" i="1"/>
  <c r="H16" i="1"/>
  <c r="F8" i="2"/>
  <c r="L8" i="2" s="1"/>
  <c r="L16" i="1"/>
  <c r="B9" i="2"/>
  <c r="L17" i="1"/>
  <c r="E10" i="2"/>
  <c r="K10" i="2" s="1"/>
  <c r="L19" i="1"/>
  <c r="M3" i="7"/>
  <c r="O3" i="7"/>
  <c r="G4" i="6"/>
  <c r="N33" i="1"/>
  <c r="J10" i="2"/>
  <c r="D10" i="2"/>
  <c r="J17" i="2"/>
  <c r="N11" i="1"/>
  <c r="N26" i="1"/>
  <c r="H5" i="1"/>
  <c r="G8" i="2"/>
  <c r="H14" i="2"/>
  <c r="M18" i="1"/>
  <c r="B10" i="2"/>
  <c r="J8" i="2"/>
  <c r="B8" i="2"/>
  <c r="E8" i="2"/>
  <c r="K8" i="2" s="1"/>
  <c r="G4" i="2"/>
  <c r="N3" i="7"/>
  <c r="N18" i="1"/>
  <c r="J4" i="2"/>
  <c r="N4" i="1"/>
  <c r="B4" i="2"/>
  <c r="B7" i="2"/>
  <c r="F4" i="2"/>
  <c r="L4" i="2" s="1"/>
  <c r="E4" i="2"/>
  <c r="K4" i="2" s="1"/>
  <c r="B6" i="2"/>
  <c r="B5" i="2"/>
  <c r="L202" i="2" l="1"/>
  <c r="H202" i="2"/>
  <c r="J202" i="2"/>
  <c r="N292" i="1"/>
  <c r="I25" i="5"/>
  <c r="I11" i="7"/>
  <c r="V11" i="7"/>
  <c r="K11" i="7"/>
  <c r="N277" i="1"/>
  <c r="E193" i="2"/>
  <c r="L280" i="1"/>
  <c r="B194" i="2" s="1"/>
  <c r="H193" i="2"/>
  <c r="H184" i="2"/>
  <c r="N269" i="1"/>
  <c r="H175" i="2"/>
  <c r="J175" i="2"/>
  <c r="N261" i="1"/>
  <c r="I108" i="2"/>
  <c r="I86" i="2"/>
  <c r="T6" i="7"/>
  <c r="M253" i="1"/>
  <c r="N253" i="1" s="1"/>
  <c r="D9" i="6"/>
  <c r="E9" i="6"/>
  <c r="F5" i="4"/>
  <c r="I21" i="2"/>
  <c r="I17" i="2"/>
  <c r="K5" i="7"/>
  <c r="H5" i="4"/>
  <c r="K6" i="7"/>
  <c r="H79" i="2"/>
  <c r="Q4" i="7"/>
  <c r="H76" i="2"/>
  <c r="H8" i="2"/>
  <c r="I112" i="2"/>
  <c r="H10" i="2"/>
  <c r="I4" i="7"/>
  <c r="I71" i="2"/>
  <c r="I40" i="2"/>
  <c r="H60" i="2"/>
  <c r="I58" i="2"/>
  <c r="H6" i="4"/>
  <c r="I79" i="2"/>
  <c r="I156" i="2"/>
  <c r="V4" i="8"/>
  <c r="H9" i="4"/>
  <c r="I14" i="2"/>
  <c r="K21" i="2"/>
  <c r="H26" i="2"/>
  <c r="I46" i="2"/>
  <c r="K58" i="2"/>
  <c r="H62" i="2"/>
  <c r="H108" i="2"/>
  <c r="L108" i="2"/>
  <c r="I148" i="2"/>
  <c r="H131" i="2"/>
  <c r="P4" i="8"/>
  <c r="H71" i="2"/>
  <c r="H142" i="2"/>
  <c r="I136" i="2"/>
  <c r="I142" i="2"/>
  <c r="P3" i="7"/>
  <c r="H51" i="2"/>
  <c r="H148" i="2"/>
  <c r="I164" i="2"/>
  <c r="H4" i="4"/>
  <c r="I6" i="7"/>
  <c r="K71" i="2"/>
  <c r="K7" i="7"/>
  <c r="L131" i="2"/>
  <c r="K142" i="2"/>
  <c r="H4" i="2"/>
  <c r="I8" i="2"/>
  <c r="D4" i="8"/>
  <c r="H8" i="4"/>
  <c r="I126" i="2"/>
  <c r="P8" i="7"/>
  <c r="H7" i="4"/>
  <c r="L51" i="2"/>
  <c r="I20" i="5"/>
  <c r="J4" i="8"/>
  <c r="H40" i="2"/>
  <c r="H33" i="2"/>
  <c r="I131" i="2"/>
  <c r="I4" i="2"/>
  <c r="I10" i="2"/>
  <c r="K86" i="2"/>
  <c r="I100" i="2"/>
  <c r="P7" i="7"/>
  <c r="I76" i="2"/>
  <c r="I62" i="2"/>
  <c r="P6" i="7"/>
  <c r="I51" i="2"/>
  <c r="P5" i="7"/>
  <c r="I33" i="2"/>
  <c r="I26" i="2"/>
  <c r="K136" i="2"/>
  <c r="D4" i="6"/>
  <c r="T8" i="7"/>
  <c r="H10" i="4"/>
  <c r="K76" i="2"/>
  <c r="I121" i="2"/>
  <c r="I7" i="8"/>
  <c r="P9" i="7"/>
  <c r="I168" i="2"/>
  <c r="G168" i="2"/>
  <c r="J10" i="7"/>
  <c r="E10" i="7"/>
  <c r="B7" i="8"/>
  <c r="C7" i="8"/>
  <c r="T7" i="8"/>
  <c r="B14" i="8"/>
  <c r="H14" i="8"/>
  <c r="K4" i="6"/>
  <c r="L33" i="2"/>
  <c r="E4" i="6" s="1"/>
  <c r="Q5" i="7"/>
  <c r="P4" i="7"/>
  <c r="R4" i="8"/>
  <c r="H92" i="2"/>
  <c r="H168" i="2"/>
  <c r="I92" i="2"/>
  <c r="C4" i="6"/>
  <c r="K126" i="2"/>
  <c r="H156" i="2"/>
  <c r="H46" i="2"/>
  <c r="H121" i="2"/>
  <c r="I60" i="2"/>
  <c r="H17" i="2"/>
  <c r="K8" i="7"/>
  <c r="T9" i="7"/>
  <c r="D9" i="4"/>
  <c r="F4" i="4"/>
  <c r="F10" i="4"/>
  <c r="F9" i="4"/>
  <c r="D6" i="4"/>
  <c r="F7" i="4"/>
  <c r="D7" i="4"/>
  <c r="F6" i="4"/>
  <c r="B11" i="4"/>
  <c r="D10" i="4"/>
  <c r="X4" i="8"/>
  <c r="H7" i="8"/>
  <c r="N7" i="8"/>
  <c r="L4" i="8"/>
  <c r="G9" i="6"/>
  <c r="E13" i="5"/>
  <c r="I23" i="5"/>
  <c r="I9" i="7"/>
  <c r="D8" i="4"/>
  <c r="D4" i="4"/>
  <c r="F8" i="4"/>
  <c r="F4" i="8"/>
  <c r="M4" i="8"/>
  <c r="G4" i="8"/>
  <c r="J11" i="8"/>
  <c r="D11" i="8"/>
  <c r="I14" i="8"/>
  <c r="O7" i="8"/>
  <c r="U7" i="8"/>
  <c r="C11" i="4"/>
  <c r="G11" i="8"/>
  <c r="C14" i="8"/>
  <c r="L11" i="8"/>
  <c r="F11" i="8"/>
  <c r="M11" i="8"/>
  <c r="D5" i="4"/>
  <c r="E11" i="4"/>
  <c r="I193" i="2" l="1"/>
  <c r="P10" i="7"/>
  <c r="V10" i="7"/>
  <c r="Q10" i="7"/>
  <c r="I24" i="5"/>
  <c r="H16" i="5" s="1"/>
  <c r="I10" i="7"/>
  <c r="F9" i="6"/>
  <c r="H9" i="6" s="1"/>
  <c r="K7" i="8"/>
  <c r="G5" i="4"/>
  <c r="H11" i="4"/>
  <c r="F4" i="6"/>
  <c r="E7" i="8"/>
  <c r="K10" i="7"/>
  <c r="Q7" i="8"/>
  <c r="G4" i="4"/>
  <c r="G7" i="4"/>
  <c r="F11" i="4"/>
  <c r="G9" i="4"/>
  <c r="G10" i="4"/>
  <c r="G6" i="4"/>
  <c r="D11" i="4"/>
  <c r="G8" i="4"/>
  <c r="W7" i="8"/>
  <c r="I9" i="6" l="1"/>
  <c r="G11" i="4"/>
</calcChain>
</file>

<file path=xl/sharedStrings.xml><?xml version="1.0" encoding="utf-8"?>
<sst xmlns="http://schemas.openxmlformats.org/spreadsheetml/2006/main" count="2051" uniqueCount="395">
  <si>
    <t>Comentarios</t>
  </si>
  <si>
    <t>Diario</t>
  </si>
  <si>
    <t>Semanal</t>
  </si>
  <si>
    <t>Fechas</t>
  </si>
  <si>
    <t>Dia</t>
  </si>
  <si>
    <t>hora</t>
  </si>
  <si>
    <t>agencia</t>
  </si>
  <si>
    <t>idioma</t>
  </si>
  <si>
    <t>Pax</t>
  </si>
  <si>
    <t>Utilidad</t>
  </si>
  <si>
    <t>Costo</t>
  </si>
  <si>
    <t>Ingreso</t>
  </si>
  <si>
    <t>Bookings</t>
  </si>
  <si>
    <t>X Tip  PAX</t>
  </si>
  <si>
    <t xml:space="preserve"> Asistencia</t>
  </si>
  <si>
    <t>Nro tours</t>
  </si>
  <si>
    <t xml:space="preserve"> Pax </t>
  </si>
  <si>
    <t>Tipo tour</t>
  </si>
  <si>
    <t>Enero</t>
  </si>
  <si>
    <t>Semana 1</t>
  </si>
  <si>
    <t>2 enero</t>
  </si>
  <si>
    <t>lunes</t>
  </si>
  <si>
    <t xml:space="preserve">3 enero </t>
  </si>
  <si>
    <t>martes</t>
  </si>
  <si>
    <t>11AM</t>
  </si>
  <si>
    <t>SDM</t>
  </si>
  <si>
    <t>Español</t>
  </si>
  <si>
    <r>
      <t>c</t>
    </r>
    <r>
      <rPr>
        <b/>
        <sz val="12"/>
        <color theme="1"/>
        <rFont val="Calibri"/>
        <family val="2"/>
        <scheme val="minor"/>
      </rPr>
      <t>ity corto</t>
    </r>
  </si>
  <si>
    <t>4 enero</t>
  </si>
  <si>
    <t>miercoles</t>
  </si>
  <si>
    <t xml:space="preserve">5 enero </t>
  </si>
  <si>
    <t>jueves</t>
  </si>
  <si>
    <t>CYT</t>
  </si>
  <si>
    <t>Ingles</t>
  </si>
  <si>
    <t>city largo</t>
  </si>
  <si>
    <t>6 enero</t>
  </si>
  <si>
    <t>viernes</t>
  </si>
  <si>
    <t xml:space="preserve">7 enero </t>
  </si>
  <si>
    <t>sabado</t>
  </si>
  <si>
    <t>city corto</t>
  </si>
  <si>
    <t xml:space="preserve">8 enero </t>
  </si>
  <si>
    <t>domingo</t>
  </si>
  <si>
    <t>Semana 2</t>
  </si>
  <si>
    <t>9 enero</t>
  </si>
  <si>
    <t>Lunes</t>
  </si>
  <si>
    <t>10 enero</t>
  </si>
  <si>
    <t>11 Enero</t>
  </si>
  <si>
    <t>Cancelado</t>
  </si>
  <si>
    <t>CYT n</t>
  </si>
  <si>
    <t>12 enero</t>
  </si>
  <si>
    <t>Jueves</t>
  </si>
  <si>
    <t>13 Enero</t>
  </si>
  <si>
    <t>14 enero</t>
  </si>
  <si>
    <t>15 enero</t>
  </si>
  <si>
    <t>Semana 3</t>
  </si>
  <si>
    <t>16 enero</t>
  </si>
  <si>
    <t>17 enero</t>
  </si>
  <si>
    <t>18 enero</t>
  </si>
  <si>
    <t>19 enero</t>
  </si>
  <si>
    <t>20 enero</t>
  </si>
  <si>
    <t>21 enero</t>
  </si>
  <si>
    <t>22 enero</t>
  </si>
  <si>
    <t>11am</t>
  </si>
  <si>
    <t>Semana 4</t>
  </si>
  <si>
    <t>23 enero</t>
  </si>
  <si>
    <t>24 enero</t>
  </si>
  <si>
    <t>25 enero</t>
  </si>
  <si>
    <t>26 enero</t>
  </si>
  <si>
    <t>27 enero</t>
  </si>
  <si>
    <t>28 enero</t>
  </si>
  <si>
    <t>29 enero</t>
  </si>
  <si>
    <t>1era semana</t>
  </si>
  <si>
    <t>30 enero</t>
  </si>
  <si>
    <t>31 enero</t>
  </si>
  <si>
    <t>1 febrero</t>
  </si>
  <si>
    <t>Febrero</t>
  </si>
  <si>
    <t>2 febrero</t>
  </si>
  <si>
    <t>3 febrero</t>
  </si>
  <si>
    <t>4 febrero</t>
  </si>
  <si>
    <t>5 febrero</t>
  </si>
  <si>
    <t>2da semana</t>
  </si>
  <si>
    <t>6 febrero</t>
  </si>
  <si>
    <t>7 febrero</t>
  </si>
  <si>
    <t>8 febrero</t>
  </si>
  <si>
    <t>10AM</t>
  </si>
  <si>
    <t>DB city</t>
  </si>
  <si>
    <t>cyt</t>
  </si>
  <si>
    <t>9 febrero</t>
  </si>
  <si>
    <t>10 febrero</t>
  </si>
  <si>
    <t>11 febrero</t>
  </si>
  <si>
    <t>Sabado</t>
  </si>
  <si>
    <t>CYT ALT</t>
  </si>
  <si>
    <t>rechazado</t>
  </si>
  <si>
    <t>12 febrero</t>
  </si>
  <si>
    <t>3er semana</t>
  </si>
  <si>
    <t>13 febrero</t>
  </si>
  <si>
    <t xml:space="preserve">3pm </t>
  </si>
  <si>
    <t>español</t>
  </si>
  <si>
    <t>14 febrero</t>
  </si>
  <si>
    <t>15 febrero</t>
  </si>
  <si>
    <t>cyt city</t>
  </si>
  <si>
    <t>16 febrero</t>
  </si>
  <si>
    <t>17 febrero</t>
  </si>
  <si>
    <t xml:space="preserve">cyt </t>
  </si>
  <si>
    <t>18 febrero</t>
  </si>
  <si>
    <t>19 febrero</t>
  </si>
  <si>
    <t>4ta semana</t>
  </si>
  <si>
    <t>20 febrero</t>
  </si>
  <si>
    <t>21 febrero</t>
  </si>
  <si>
    <t>22 febrero</t>
  </si>
  <si>
    <t>costo 0? Por 12pax</t>
  </si>
  <si>
    <t>23 febrero</t>
  </si>
  <si>
    <t>24 febrero</t>
  </si>
  <si>
    <t>25 febrero</t>
  </si>
  <si>
    <t>Clima de la re mierda</t>
  </si>
  <si>
    <t>2pm</t>
  </si>
  <si>
    <t>26 febrero</t>
  </si>
  <si>
    <t>27 febrero</t>
  </si>
  <si>
    <t>28 febrero</t>
  </si>
  <si>
    <t>1230pm</t>
  </si>
  <si>
    <t>cita visa</t>
  </si>
  <si>
    <t>1 marzo</t>
  </si>
  <si>
    <t>Marzo</t>
  </si>
  <si>
    <t>2 marzo</t>
  </si>
  <si>
    <t>3 marzo</t>
  </si>
  <si>
    <t>4 marzo</t>
  </si>
  <si>
    <t>5 marzo</t>
  </si>
  <si>
    <t>6 marzo</t>
  </si>
  <si>
    <t>7 marzo</t>
  </si>
  <si>
    <t>8 marzo</t>
  </si>
  <si>
    <t>9 marzo</t>
  </si>
  <si>
    <t>cancelado</t>
  </si>
  <si>
    <t>10 marzo</t>
  </si>
  <si>
    <t>11 marzo</t>
  </si>
  <si>
    <t>12 marzo</t>
  </si>
  <si>
    <t>13 marzo</t>
  </si>
  <si>
    <t>14 marzo</t>
  </si>
  <si>
    <t>remplazo stibi</t>
  </si>
  <si>
    <t>15 marzo</t>
  </si>
  <si>
    <t>replazo marcel</t>
  </si>
  <si>
    <t>pocos bookings</t>
  </si>
  <si>
    <t>16 marzo</t>
  </si>
  <si>
    <t>17 marzo</t>
  </si>
  <si>
    <t>18 marzo</t>
  </si>
  <si>
    <t>reich</t>
  </si>
  <si>
    <t>19 marzo</t>
  </si>
  <si>
    <t>sdm</t>
  </si>
  <si>
    <t>20 marzo</t>
  </si>
  <si>
    <t>21 marzo</t>
  </si>
  <si>
    <t>22 marzo</t>
  </si>
  <si>
    <t>rojo</t>
  </si>
  <si>
    <t>23 marzo</t>
  </si>
  <si>
    <t>24 marzo</t>
  </si>
  <si>
    <t>2do</t>
  </si>
  <si>
    <t>25 marzo</t>
  </si>
  <si>
    <t>26 marzo</t>
  </si>
  <si>
    <t>out</t>
  </si>
  <si>
    <t>27 marzo</t>
  </si>
  <si>
    <t>28 marzo</t>
  </si>
  <si>
    <t>29 marzo</t>
  </si>
  <si>
    <t>30 marzo</t>
  </si>
  <si>
    <t>31 marzo</t>
  </si>
  <si>
    <t>1 abril</t>
  </si>
  <si>
    <t>Abril</t>
  </si>
  <si>
    <t>2ppm</t>
  </si>
  <si>
    <t>2 abril</t>
  </si>
  <si>
    <t>3 abril</t>
  </si>
  <si>
    <t>4 abril</t>
  </si>
  <si>
    <t>5 abril</t>
  </si>
  <si>
    <t>6 abril</t>
  </si>
  <si>
    <t>7mo</t>
  </si>
  <si>
    <t>7 abril</t>
  </si>
  <si>
    <t>2do con el wea</t>
  </si>
  <si>
    <t>8 abril</t>
  </si>
  <si>
    <t>9 abril</t>
  </si>
  <si>
    <t>semana 3</t>
  </si>
  <si>
    <t>10 abril</t>
  </si>
  <si>
    <t>10am</t>
  </si>
  <si>
    <t>11 abril</t>
  </si>
  <si>
    <t>12 abril</t>
  </si>
  <si>
    <t xml:space="preserve">13 abril </t>
  </si>
  <si>
    <t>14 abril</t>
  </si>
  <si>
    <t>post semana santaa muere</t>
  </si>
  <si>
    <t>15 abril</t>
  </si>
  <si>
    <t>2do con marcel</t>
  </si>
  <si>
    <t>16 abril</t>
  </si>
  <si>
    <t>17 abril</t>
  </si>
  <si>
    <t>18 abril</t>
  </si>
  <si>
    <t>robado</t>
  </si>
  <si>
    <t>19 abril</t>
  </si>
  <si>
    <t>20 abril</t>
  </si>
  <si>
    <t>21 abril</t>
  </si>
  <si>
    <t>22 abril</t>
  </si>
  <si>
    <t>23 abril</t>
  </si>
  <si>
    <t>semana 5</t>
  </si>
  <si>
    <t>24 abril</t>
  </si>
  <si>
    <t>manifesto</t>
  </si>
  <si>
    <t>25 abril</t>
  </si>
  <si>
    <t>2do español</t>
  </si>
  <si>
    <t>26 abril</t>
  </si>
  <si>
    <t>27 abril</t>
  </si>
  <si>
    <t>28 abril</t>
  </si>
  <si>
    <t>29 abril</t>
  </si>
  <si>
    <t>30 abril</t>
  </si>
  <si>
    <t>1 mayo</t>
  </si>
  <si>
    <t>Mayo</t>
  </si>
  <si>
    <t>2 mayo</t>
  </si>
  <si>
    <t>3 mayo</t>
  </si>
  <si>
    <t>4 mayo</t>
  </si>
  <si>
    <t>5 mayo</t>
  </si>
  <si>
    <t>6 mayo</t>
  </si>
  <si>
    <t>7 mayo</t>
  </si>
  <si>
    <t>semana 2</t>
  </si>
  <si>
    <t>8 mayo</t>
  </si>
  <si>
    <t>9 mayo</t>
  </si>
  <si>
    <t>10 mayo</t>
  </si>
  <si>
    <t>11 mayo</t>
  </si>
  <si>
    <t>12 mayo</t>
  </si>
  <si>
    <t>13 mayo</t>
  </si>
  <si>
    <t>14 mayo</t>
  </si>
  <si>
    <t>15 mayo</t>
  </si>
  <si>
    <t>16 mayo</t>
  </si>
  <si>
    <t>17 mayo</t>
  </si>
  <si>
    <t>18 mayo</t>
  </si>
  <si>
    <t>ingles</t>
  </si>
  <si>
    <t>19 mayo</t>
  </si>
  <si>
    <t>230pm</t>
  </si>
  <si>
    <t>semana 4</t>
  </si>
  <si>
    <t>Junio</t>
  </si>
  <si>
    <t>semana 1</t>
  </si>
  <si>
    <t>Julio</t>
  </si>
  <si>
    <t>Reich</t>
  </si>
  <si>
    <t>Semana 5</t>
  </si>
  <si>
    <t>1 agosto</t>
  </si>
  <si>
    <t>2 agosto</t>
  </si>
  <si>
    <t>3 agosto</t>
  </si>
  <si>
    <t>4 agosto</t>
  </si>
  <si>
    <t>5 agosto</t>
  </si>
  <si>
    <t>6 agosto</t>
  </si>
  <si>
    <t>9am</t>
  </si>
  <si>
    <t>Ratio T/P</t>
  </si>
  <si>
    <t>% asistencia</t>
  </si>
  <si>
    <t xml:space="preserve"> total semana</t>
  </si>
  <si>
    <t>Tip semana</t>
  </si>
  <si>
    <t xml:space="preserve"> pago semana</t>
  </si>
  <si>
    <t>% Propina/total</t>
  </si>
  <si>
    <t>X TIp por Per</t>
  </si>
  <si>
    <t>X Pax  tour</t>
  </si>
  <si>
    <t>X $ tour</t>
  </si>
  <si>
    <t>X $ tour in</t>
  </si>
  <si>
    <t>citi largo</t>
  </si>
  <si>
    <t>otro rojo</t>
  </si>
  <si>
    <t>m</t>
  </si>
  <si>
    <t>privado</t>
  </si>
  <si>
    <t>Domingo</t>
  </si>
  <si>
    <t>Agosto</t>
  </si>
  <si>
    <t>Agencias</t>
  </si>
  <si>
    <t>Idiomas</t>
  </si>
  <si>
    <t>Personas</t>
  </si>
  <si>
    <t>Ingreso total</t>
  </si>
  <si>
    <t>Pago</t>
  </si>
  <si>
    <t>Total</t>
  </si>
  <si>
    <t>% utilidad</t>
  </si>
  <si>
    <t>Asistencia</t>
  </si>
  <si>
    <t>Nro Tours</t>
  </si>
  <si>
    <t>X tours week</t>
  </si>
  <si>
    <t>Ingreso X</t>
  </si>
  <si>
    <t>Pax X</t>
  </si>
  <si>
    <t>Tip X</t>
  </si>
  <si>
    <t>X diario</t>
  </si>
  <si>
    <t>Reviews</t>
  </si>
  <si>
    <t>Tasa reviews</t>
  </si>
  <si>
    <t>X semanal</t>
  </si>
  <si>
    <t>Reportados</t>
  </si>
  <si>
    <t>Recorte</t>
  </si>
  <si>
    <t>Reviews Totales</t>
  </si>
  <si>
    <t>Resumen Enero</t>
  </si>
  <si>
    <t>1C 13S</t>
  </si>
  <si>
    <t>6I 14E</t>
  </si>
  <si>
    <t>Resumen Febrero</t>
  </si>
  <si>
    <t>1D 5C 17S</t>
  </si>
  <si>
    <t>13I 10E</t>
  </si>
  <si>
    <t>Resumen Marzo</t>
  </si>
  <si>
    <t>4c  17s</t>
  </si>
  <si>
    <t>15I 6e</t>
  </si>
  <si>
    <t>Resumen Abril</t>
  </si>
  <si>
    <t>24 s C2</t>
  </si>
  <si>
    <t>14I 12 E</t>
  </si>
  <si>
    <t>Resumen Mayo</t>
  </si>
  <si>
    <t>23 S 1C</t>
  </si>
  <si>
    <t>10I 18E</t>
  </si>
  <si>
    <t>Resumen Junio</t>
  </si>
  <si>
    <t>26 sdm</t>
  </si>
  <si>
    <t>16 I 9E</t>
  </si>
  <si>
    <t>Resumen Julio</t>
  </si>
  <si>
    <t>11 E  16I</t>
  </si>
  <si>
    <t>Resumen Agosto</t>
  </si>
  <si>
    <t>Resumen septiembre</t>
  </si>
  <si>
    <t>Usuario cyt</t>
  </si>
  <si>
    <t>practicante1@culturetouringberlin.com</t>
  </si>
  <si>
    <t>practicante2@culturetouringberlin.com</t>
  </si>
  <si>
    <t>en box</t>
  </si>
  <si>
    <t>Lavado</t>
  </si>
  <si>
    <t>total</t>
  </si>
  <si>
    <t>6200$</t>
  </si>
  <si>
    <t>Pass</t>
  </si>
  <si>
    <t>Berlin-2022</t>
  </si>
  <si>
    <t xml:space="preserve">1 Abril </t>
  </si>
  <si>
    <t>gasto</t>
  </si>
  <si>
    <t>Donicus</t>
  </si>
  <si>
    <t>15 Abril</t>
  </si>
  <si>
    <t>abril 21</t>
  </si>
  <si>
    <t>Sum up</t>
  </si>
  <si>
    <t>controlberlin@gmail.com</t>
  </si>
  <si>
    <t>Berlin2022</t>
  </si>
  <si>
    <t>Ahorro mes</t>
  </si>
  <si>
    <t>Ahorro</t>
  </si>
  <si>
    <t>Total ahorrado</t>
  </si>
  <si>
    <t>Meta</t>
  </si>
  <si>
    <t>promedio para meta</t>
  </si>
  <si>
    <t>Promedio actual</t>
  </si>
  <si>
    <t>Faltan</t>
  </si>
  <si>
    <t>Ahorros totales</t>
  </si>
  <si>
    <t>mayo</t>
  </si>
  <si>
    <t>*9900 cash 3 Julio</t>
  </si>
  <si>
    <t>monto</t>
  </si>
  <si>
    <t>fecha</t>
  </si>
  <si>
    <t>% ahorro</t>
  </si>
  <si>
    <t>Divisas</t>
  </si>
  <si>
    <t>debo 84 23/7</t>
  </si>
  <si>
    <t>2 al 8 julio</t>
  </si>
  <si>
    <t>enero</t>
  </si>
  <si>
    <t>Dolares</t>
  </si>
  <si>
    <t>Septiembre</t>
  </si>
  <si>
    <t>9 al 15 julio</t>
  </si>
  <si>
    <t>febrero</t>
  </si>
  <si>
    <t>Libras</t>
  </si>
  <si>
    <t>16 al 22 julio</t>
  </si>
  <si>
    <t>marzo</t>
  </si>
  <si>
    <t>francos</t>
  </si>
  <si>
    <t>23 al 29 julio</t>
  </si>
  <si>
    <t>abril</t>
  </si>
  <si>
    <t>Debo 52</t>
  </si>
  <si>
    <t>30 al 5 agosto</t>
  </si>
  <si>
    <t>5 al 13 agosto</t>
  </si>
  <si>
    <t>junio</t>
  </si>
  <si>
    <t>13 al 19</t>
  </si>
  <si>
    <t>julio</t>
  </si>
  <si>
    <t>20 al 26</t>
  </si>
  <si>
    <t>27 al 2</t>
  </si>
  <si>
    <t>2 al 11</t>
  </si>
  <si>
    <t>X Tips x per</t>
  </si>
  <si>
    <t>X Semanal</t>
  </si>
  <si>
    <t>X  tour utilidad</t>
  </si>
  <si>
    <t>X asistencia</t>
  </si>
  <si>
    <t>X pax per tour</t>
  </si>
  <si>
    <t>X dias trabajados por semana</t>
  </si>
  <si>
    <t>Total tours</t>
  </si>
  <si>
    <t>Total Pax</t>
  </si>
  <si>
    <t>X pax semanal</t>
  </si>
  <si>
    <t>Amparo</t>
  </si>
  <si>
    <t>Evaluacion</t>
  </si>
  <si>
    <t>Criterio</t>
  </si>
  <si>
    <t>Malo</t>
  </si>
  <si>
    <t>7-7.9</t>
  </si>
  <si>
    <t>Regular</t>
  </si>
  <si>
    <t>8-8.9</t>
  </si>
  <si>
    <t>Bueno</t>
  </si>
  <si>
    <t>9-9.9</t>
  </si>
  <si>
    <t>Muy Bueno</t>
  </si>
  <si>
    <t>10&lt;</t>
  </si>
  <si>
    <t>City Corto</t>
  </si>
  <si>
    <t>City Largo</t>
  </si>
  <si>
    <t>Rojo</t>
  </si>
  <si>
    <t>Qt tours</t>
  </si>
  <si>
    <t xml:space="preserve">QT pax </t>
  </si>
  <si>
    <t>Total $</t>
  </si>
  <si>
    <t>X Pax</t>
  </si>
  <si>
    <t>Tip x pax</t>
  </si>
  <si>
    <t>$ por tour</t>
  </si>
  <si>
    <t>pax x tour</t>
  </si>
  <si>
    <t>pronostico X</t>
  </si>
  <si>
    <t>tip x pax</t>
  </si>
  <si>
    <t>Tour Español</t>
  </si>
  <si>
    <t>Tour Ingles</t>
  </si>
  <si>
    <t>Lunes 16/1</t>
  </si>
  <si>
    <t>Dias ws</t>
  </si>
  <si>
    <t>Qt per</t>
  </si>
  <si>
    <t>Qt per X</t>
  </si>
  <si>
    <t>Tip Total</t>
  </si>
  <si>
    <t>Tip promedio</t>
  </si>
  <si>
    <t>Tip promedio persona</t>
  </si>
  <si>
    <t>Martes</t>
  </si>
  <si>
    <t>Miercoles</t>
  </si>
  <si>
    <t xml:space="preserve">Sabado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</si>
</sst>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 &quot;$&quot;* #,##0.00_ ;_ &quot;$&quot;* \-#,##0.00_ ;_ &quot;$&quot;* &quot;-&quot;??_ ;_ @_ "/>
    <numFmt numFmtId="164" formatCode="_(&quot;$&quot;* #,##0.00_);_(&quot;$&quot;* \(#,##0.00\);_(&quot;$&quot;* &quot;-&quot;??_);_(@_)"/>
    <numFmt numFmtId="165" formatCode="0.0"/>
    <numFmt numFmtId="166" formatCode="_(&quot;$&quot;* #,##0_);_(&quot;$&quot;* \(#,##0\);_(&quot;$&quot;* &quot;-&quot;??_);_(@_)"/>
    <numFmt numFmtId="167" formatCode="_([$€-2]\ * #,##0.00_);_([$€-2]\ * \(#,##0.00\);_([$€-2]\ * &quot;-&quot;??_);_(@_)"/>
    <numFmt numFmtId="168" formatCode="_([$€-2]\ * #,##0.0_);_([$€-2]\ * \(#,##0.0\);_([$€-2]\ * &quot;-&quot;??_);_(@_)"/>
    <numFmt numFmtId="169" formatCode="0.0000"/>
    <numFmt numFmtId="170" formatCode="_([$€-2]\ * #,##0_);_([$€-2]\ * \(#,##0\);_([$€-2]\ * &quot;-&quot;??_);_(@_)"/>
    <numFmt numFmtId="171" formatCode="_([$€-2]\ * #,##0.0_);_([$€-2]\ * \(#,##0.0\);_([$€-2]\ * &quot;-&quot;?_);_(@_)"/>
    <numFmt numFmtId="172" formatCode="_(&quot;$&quot;* #,##0.0_);_(&quot;$&quot;* \(#,##0.0\);_(&quot;$&quot;* &quot;-&quot;??_);_(@_)"/>
    <numFmt numFmtId="173" formatCode="[$€-2]\ #,##0.00"/>
    <numFmt numFmtId="174" formatCode="0.0%"/>
    <numFmt numFmtId="175" formatCode="[$€-2]\ #,##0.0"/>
    <numFmt numFmtId="176" formatCode="[$$-540A]#,##0.00"/>
    <numFmt numFmtId="177" formatCode="[$-409]d\-mmm;@"/>
    <numFmt numFmtId="178" formatCode="_ [$€-2]\ * #,##0.00_ ;_ [$€-2]\ * \-#,##0.00_ ;_ [$€-2]\ * &quot;-&quot;??_ ;_ @_ "/>
    <numFmt numFmtId="179" formatCode="_-[$$-409]* #,##0.00_ ;_-[$$-409]* \-#,##0.00\ ;_-[$$-409]* &quot;-&quot;??_ ;_-@_ "/>
    <numFmt numFmtId="180" formatCode="_-[$£-809]* #,##0.00_-;\-[$£-809]* #,##0.00_-;_-[$£-809]* &quot;-&quot;??_-;_-@_-"/>
    <numFmt numFmtId="181" formatCode="_-* #,##0.00\ [$CHF-100C]_-;\-* #,##0.00\ [$CHF-100C]_-;_-* &quot;-&quot;??\ [$CHF-100C]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9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/>
      <right style="medium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indexed="64"/>
      </right>
      <top style="medium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/>
      <diagonal/>
    </border>
    <border>
      <left/>
      <right/>
      <top/>
      <bottom style="medium">
        <color rgb="FF505050"/>
      </bottom>
      <diagonal/>
    </border>
    <border>
      <left style="thin">
        <color indexed="64"/>
      </left>
      <right/>
      <top style="medium">
        <color rgb="FF505050"/>
      </top>
      <bottom style="thin">
        <color indexed="64"/>
      </bottom>
      <diagonal/>
    </border>
    <border>
      <left style="medium">
        <color rgb="FF50505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medium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indexed="64"/>
      </left>
      <right style="thin">
        <color rgb="FF505050"/>
      </right>
      <top style="medium">
        <color indexed="64"/>
      </top>
      <bottom/>
      <diagonal/>
    </border>
    <border>
      <left style="thin">
        <color rgb="FF505050"/>
      </left>
      <right style="thin">
        <color rgb="FF505050"/>
      </right>
      <top style="medium">
        <color indexed="64"/>
      </top>
      <bottom/>
      <diagonal/>
    </border>
    <border>
      <left style="thin">
        <color rgb="FF50505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00000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505050"/>
      </right>
      <top style="medium">
        <color rgb="FF00000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000000"/>
      </top>
      <bottom style="thin">
        <color rgb="FF505050"/>
      </bottom>
      <diagonal/>
    </border>
    <border>
      <left style="thin">
        <color rgb="FF505050"/>
      </left>
      <right style="medium">
        <color rgb="FF000000"/>
      </right>
      <top style="medium">
        <color rgb="FF000000"/>
      </top>
      <bottom style="thin">
        <color rgb="FF505050"/>
      </bottom>
      <diagonal/>
    </border>
    <border>
      <left style="medium">
        <color rgb="FF000000"/>
      </left>
      <right style="thin">
        <color rgb="FF505050"/>
      </right>
      <top style="thin">
        <color rgb="FF505050"/>
      </top>
      <bottom style="medium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000000"/>
      </bottom>
      <diagonal/>
    </border>
    <border>
      <left style="thin">
        <color rgb="FF505050"/>
      </left>
      <right style="medium">
        <color rgb="FF000000"/>
      </right>
      <top style="thin">
        <color rgb="FF50505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505050"/>
      </top>
      <bottom/>
      <diagonal/>
    </border>
    <border>
      <left style="medium">
        <color rgb="FF000000"/>
      </left>
      <right style="medium">
        <color rgb="FF000000"/>
      </right>
      <top style="medium">
        <color rgb="FF505050"/>
      </top>
      <bottom style="medium">
        <color rgb="FF50505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50505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36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0" fillId="3" borderId="7" xfId="0" applyFill="1" applyBorder="1"/>
    <xf numFmtId="0" fontId="0" fillId="3" borderId="17" xfId="0" applyFill="1" applyBorder="1"/>
    <xf numFmtId="0" fontId="0" fillId="3" borderId="18" xfId="0" applyFill="1" applyBorder="1"/>
    <xf numFmtId="0" fontId="0" fillId="5" borderId="17" xfId="0" applyFill="1" applyBorder="1"/>
    <xf numFmtId="0" fontId="0" fillId="5" borderId="18" xfId="0" applyFill="1" applyBorder="1"/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0" fillId="3" borderId="6" xfId="0" applyFill="1" applyBorder="1"/>
    <xf numFmtId="0" fontId="0" fillId="3" borderId="19" xfId="0" applyFill="1" applyBorder="1"/>
    <xf numFmtId="0" fontId="0" fillId="3" borderId="1" xfId="0" applyFill="1" applyBorder="1"/>
    <xf numFmtId="0" fontId="0" fillId="2" borderId="16" xfId="0" applyFill="1" applyBorder="1"/>
    <xf numFmtId="0" fontId="0" fillId="2" borderId="17" xfId="0" applyFill="1" applyBorder="1"/>
    <xf numFmtId="0" fontId="0" fillId="5" borderId="24" xfId="0" applyFill="1" applyBorder="1"/>
    <xf numFmtId="0" fontId="0" fillId="3" borderId="20" xfId="0" applyFill="1" applyBorder="1"/>
    <xf numFmtId="0" fontId="0" fillId="7" borderId="18" xfId="0" applyFill="1" applyBorder="1"/>
    <xf numFmtId="0" fontId="0" fillId="7" borderId="1" xfId="0" applyFill="1" applyBorder="1"/>
    <xf numFmtId="0" fontId="0" fillId="3" borderId="9" xfId="0" applyFill="1" applyBorder="1"/>
    <xf numFmtId="0" fontId="0" fillId="3" borderId="26" xfId="0" applyFill="1" applyBorder="1"/>
    <xf numFmtId="0" fontId="0" fillId="0" borderId="27" xfId="0" applyBorder="1"/>
    <xf numFmtId="0" fontId="0" fillId="3" borderId="27" xfId="0" applyFill="1" applyBorder="1"/>
    <xf numFmtId="0" fontId="0" fillId="3" borderId="11" xfId="0" applyFill="1" applyBorder="1"/>
    <xf numFmtId="0" fontId="0" fillId="3" borderId="29" xfId="0" applyFill="1" applyBorder="1"/>
    <xf numFmtId="0" fontId="0" fillId="3" borderId="30" xfId="0" applyFill="1" applyBorder="1"/>
    <xf numFmtId="0" fontId="0" fillId="5" borderId="30" xfId="0" applyFill="1" applyBorder="1"/>
    <xf numFmtId="0" fontId="0" fillId="5" borderId="31" xfId="0" applyFill="1" applyBorder="1"/>
    <xf numFmtId="0" fontId="0" fillId="2" borderId="28" xfId="0" applyFill="1" applyBorder="1"/>
    <xf numFmtId="0" fontId="0" fillId="2" borderId="30" xfId="0" applyFill="1" applyBorder="1"/>
    <xf numFmtId="0" fontId="0" fillId="5" borderId="32" xfId="0" applyFill="1" applyBorder="1"/>
    <xf numFmtId="0" fontId="0" fillId="3" borderId="28" xfId="0" applyFill="1" applyBorder="1"/>
    <xf numFmtId="0" fontId="0" fillId="0" borderId="30" xfId="0" applyBorder="1"/>
    <xf numFmtId="0" fontId="0" fillId="7" borderId="31" xfId="0" applyFill="1" applyBorder="1"/>
    <xf numFmtId="0" fontId="0" fillId="5" borderId="27" xfId="0" applyFill="1" applyBorder="1"/>
    <xf numFmtId="0" fontId="0" fillId="2" borderId="27" xfId="0" applyFill="1" applyBorder="1"/>
    <xf numFmtId="0" fontId="0" fillId="0" borderId="34" xfId="0" applyBorder="1"/>
    <xf numFmtId="0" fontId="0" fillId="5" borderId="33" xfId="0" applyFill="1" applyBorder="1"/>
    <xf numFmtId="0" fontId="0" fillId="7" borderId="35" xfId="0" applyFill="1" applyBorder="1"/>
    <xf numFmtId="0" fontId="0" fillId="5" borderId="35" xfId="0" applyFill="1" applyBorder="1"/>
    <xf numFmtId="0" fontId="0" fillId="8" borderId="18" xfId="0" applyFill="1" applyBorder="1"/>
    <xf numFmtId="0" fontId="0" fillId="8" borderId="30" xfId="0" applyFill="1" applyBorder="1"/>
    <xf numFmtId="0" fontId="0" fillId="8" borderId="27" xfId="0" applyFill="1" applyBorder="1"/>
    <xf numFmtId="0" fontId="0" fillId="3" borderId="36" xfId="0" applyFill="1" applyBorder="1"/>
    <xf numFmtId="0" fontId="0" fillId="5" borderId="37" xfId="0" applyFill="1" applyBorder="1"/>
    <xf numFmtId="0" fontId="0" fillId="3" borderId="2" xfId="0" applyFill="1" applyBorder="1"/>
    <xf numFmtId="0" fontId="0" fillId="3" borderId="12" xfId="0" applyFill="1" applyBorder="1"/>
    <xf numFmtId="0" fontId="0" fillId="5" borderId="1" xfId="0" applyFill="1" applyBorder="1"/>
    <xf numFmtId="0" fontId="0" fillId="5" borderId="16" xfId="0" applyFill="1" applyBorder="1"/>
    <xf numFmtId="0" fontId="0" fillId="5" borderId="28" xfId="0" applyFill="1" applyBorder="1"/>
    <xf numFmtId="0" fontId="0" fillId="9" borderId="1" xfId="0" applyFill="1" applyBorder="1"/>
    <xf numFmtId="0" fontId="0" fillId="4" borderId="6" xfId="0" applyFill="1" applyBorder="1"/>
    <xf numFmtId="0" fontId="0" fillId="5" borderId="34" xfId="0" applyFill="1" applyBorder="1"/>
    <xf numFmtId="0" fontId="3" fillId="0" borderId="0" xfId="2"/>
    <xf numFmtId="9" fontId="0" fillId="10" borderId="12" xfId="1" applyFont="1" applyFill="1" applyBorder="1" applyAlignment="1">
      <alignment horizontal="center" vertical="center"/>
    </xf>
    <xf numFmtId="9" fontId="0" fillId="9" borderId="12" xfId="1" applyFont="1" applyFill="1" applyBorder="1" applyAlignment="1">
      <alignment horizontal="center" vertical="center"/>
    </xf>
    <xf numFmtId="9" fontId="0" fillId="7" borderId="12" xfId="1" applyFont="1" applyFill="1" applyBorder="1" applyAlignment="1">
      <alignment horizontal="center" vertical="center"/>
    </xf>
    <xf numFmtId="0" fontId="0" fillId="7" borderId="25" xfId="0" applyFill="1" applyBorder="1"/>
    <xf numFmtId="0" fontId="0" fillId="6" borderId="1" xfId="0" applyFill="1" applyBorder="1"/>
    <xf numFmtId="9" fontId="0" fillId="6" borderId="12" xfId="1" applyFont="1" applyFill="1" applyBorder="1" applyAlignment="1">
      <alignment horizontal="center" vertical="center"/>
    </xf>
    <xf numFmtId="0" fontId="0" fillId="10" borderId="1" xfId="0" applyFill="1" applyBorder="1"/>
    <xf numFmtId="0" fontId="0" fillId="7" borderId="6" xfId="0" applyFill="1" applyBorder="1"/>
    <xf numFmtId="9" fontId="0" fillId="7" borderId="1" xfId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10" borderId="6" xfId="0" applyFill="1" applyBorder="1"/>
    <xf numFmtId="0" fontId="0" fillId="9" borderId="6" xfId="0" applyFill="1" applyBorder="1"/>
    <xf numFmtId="0" fontId="0" fillId="3" borderId="38" xfId="0" applyFill="1" applyBorder="1"/>
    <xf numFmtId="0" fontId="0" fillId="5" borderId="39" xfId="0" applyFill="1" applyBorder="1"/>
    <xf numFmtId="0" fontId="0" fillId="5" borderId="38" xfId="0" applyFill="1" applyBorder="1"/>
    <xf numFmtId="0" fontId="0" fillId="3" borderId="39" xfId="0" applyFill="1" applyBorder="1"/>
    <xf numFmtId="0" fontId="0" fillId="8" borderId="1" xfId="0" applyFill="1" applyBorder="1"/>
    <xf numFmtId="9" fontId="0" fillId="6" borderId="26" xfId="1" applyFont="1" applyFill="1" applyBorder="1" applyAlignment="1">
      <alignment horizontal="center" vertical="center"/>
    </xf>
    <xf numFmtId="0" fontId="0" fillId="5" borderId="40" xfId="0" applyFill="1" applyBorder="1"/>
    <xf numFmtId="0" fontId="0" fillId="5" borderId="41" xfId="0" applyFill="1" applyBorder="1"/>
    <xf numFmtId="0" fontId="0" fillId="5" borderId="2" xfId="0" applyFill="1" applyBorder="1"/>
    <xf numFmtId="1" fontId="0" fillId="8" borderId="27" xfId="0" applyNumberFormat="1" applyFill="1" applyBorder="1"/>
    <xf numFmtId="0" fontId="0" fillId="3" borderId="42" xfId="0" applyFill="1" applyBorder="1"/>
    <xf numFmtId="0" fontId="0" fillId="5" borderId="43" xfId="0" applyFill="1" applyBorder="1"/>
    <xf numFmtId="0" fontId="0" fillId="3" borderId="43" xfId="0" applyFill="1" applyBorder="1"/>
    <xf numFmtId="0" fontId="0" fillId="11" borderId="1" xfId="0" applyFill="1" applyBorder="1"/>
    <xf numFmtId="0" fontId="0" fillId="8" borderId="38" xfId="0" applyFill="1" applyBorder="1"/>
    <xf numFmtId="0" fontId="2" fillId="6" borderId="1" xfId="0" applyFont="1" applyFill="1" applyBorder="1"/>
    <xf numFmtId="0" fontId="0" fillId="5" borderId="8" xfId="0" applyFill="1" applyBorder="1"/>
    <xf numFmtId="165" fontId="0" fillId="5" borderId="2" xfId="0" applyNumberFormat="1" applyFill="1" applyBorder="1"/>
    <xf numFmtId="0" fontId="0" fillId="5" borderId="44" xfId="0" applyFill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8" borderId="43" xfId="0" applyFill="1" applyBorder="1"/>
    <xf numFmtId="9" fontId="0" fillId="10" borderId="26" xfId="1" applyFont="1" applyFill="1" applyBorder="1" applyAlignment="1">
      <alignment horizontal="center" vertical="center"/>
    </xf>
    <xf numFmtId="0" fontId="0" fillId="5" borderId="48" xfId="0" applyFill="1" applyBorder="1"/>
    <xf numFmtId="0" fontId="0" fillId="3" borderId="46" xfId="0" applyFill="1" applyBorder="1"/>
    <xf numFmtId="0" fontId="0" fillId="2" borderId="43" xfId="0" applyFill="1" applyBorder="1"/>
    <xf numFmtId="0" fontId="0" fillId="7" borderId="44" xfId="0" applyFill="1" applyBorder="1"/>
    <xf numFmtId="0" fontId="0" fillId="3" borderId="23" xfId="0" applyFill="1" applyBorder="1"/>
    <xf numFmtId="0" fontId="0" fillId="5" borderId="42" xfId="0" applyFill="1" applyBorder="1"/>
    <xf numFmtId="0" fontId="0" fillId="3" borderId="8" xfId="0" applyFill="1" applyBorder="1"/>
    <xf numFmtId="0" fontId="0" fillId="3" borderId="14" xfId="0" applyFill="1" applyBorder="1"/>
    <xf numFmtId="0" fontId="0" fillId="0" borderId="2" xfId="0" applyBorder="1"/>
    <xf numFmtId="0" fontId="0" fillId="3" borderId="44" xfId="0" applyFill="1" applyBorder="1"/>
    <xf numFmtId="0" fontId="0" fillId="3" borderId="37" xfId="0" applyFill="1" applyBorder="1"/>
    <xf numFmtId="0" fontId="0" fillId="0" borderId="35" xfId="0" applyBorder="1"/>
    <xf numFmtId="165" fontId="0" fillId="5" borderId="34" xfId="0" applyNumberFormat="1" applyFill="1" applyBorder="1"/>
    <xf numFmtId="167" fontId="0" fillId="5" borderId="27" xfId="0" applyNumberFormat="1" applyFill="1" applyBorder="1"/>
    <xf numFmtId="168" fontId="0" fillId="3" borderId="46" xfId="0" applyNumberFormat="1" applyFill="1" applyBorder="1"/>
    <xf numFmtId="168" fontId="0" fillId="5" borderId="46" xfId="0" applyNumberFormat="1" applyFill="1" applyBorder="1"/>
    <xf numFmtId="0" fontId="0" fillId="5" borderId="6" xfId="0" applyFill="1" applyBorder="1"/>
    <xf numFmtId="168" fontId="0" fillId="5" borderId="42" xfId="0" applyNumberFormat="1" applyFill="1" applyBorder="1"/>
    <xf numFmtId="167" fontId="0" fillId="7" borderId="1" xfId="0" applyNumberFormat="1" applyFill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167" fontId="0" fillId="10" borderId="16" xfId="0" applyNumberFormat="1" applyFill="1" applyBorder="1" applyAlignment="1">
      <alignment horizontal="center" vertical="center"/>
    </xf>
    <xf numFmtId="167" fontId="0" fillId="9" borderId="1" xfId="0" applyNumberFormat="1" applyFill="1" applyBorder="1" applyAlignment="1">
      <alignment horizontal="center" vertical="center"/>
    </xf>
    <xf numFmtId="167" fontId="0" fillId="10" borderId="1" xfId="0" applyNumberFormat="1" applyFill="1" applyBorder="1" applyAlignment="1">
      <alignment horizontal="center" vertical="center"/>
    </xf>
    <xf numFmtId="9" fontId="0" fillId="10" borderId="0" xfId="1" applyFont="1" applyFill="1" applyAlignment="1">
      <alignment horizontal="center" vertical="center"/>
    </xf>
    <xf numFmtId="9" fontId="0" fillId="10" borderId="1" xfId="1" applyFont="1" applyFill="1" applyBorder="1" applyAlignment="1">
      <alignment horizontal="center" vertical="center"/>
    </xf>
    <xf numFmtId="0" fontId="2" fillId="0" borderId="9" xfId="0" applyFont="1" applyBorder="1"/>
    <xf numFmtId="0" fontId="0" fillId="15" borderId="7" xfId="0" applyFill="1" applyBorder="1"/>
    <xf numFmtId="0" fontId="0" fillId="15" borderId="1" xfId="0" applyFill="1" applyBorder="1"/>
    <xf numFmtId="168" fontId="0" fillId="5" borderId="47" xfId="0" applyNumberFormat="1" applyFill="1" applyBorder="1"/>
    <xf numFmtId="168" fontId="0" fillId="3" borderId="42" xfId="0" applyNumberFormat="1" applyFill="1" applyBorder="1"/>
    <xf numFmtId="9" fontId="0" fillId="9" borderId="26" xfId="1" applyFont="1" applyFill="1" applyBorder="1" applyAlignment="1">
      <alignment horizontal="center" vertical="center"/>
    </xf>
    <xf numFmtId="0" fontId="0" fillId="9" borderId="26" xfId="0" applyFill="1" applyBorder="1"/>
    <xf numFmtId="167" fontId="0" fillId="5" borderId="43" xfId="3" applyNumberFormat="1" applyFont="1" applyFill="1" applyBorder="1"/>
    <xf numFmtId="0" fontId="0" fillId="18" borderId="0" xfId="0" applyFill="1"/>
    <xf numFmtId="0" fontId="2" fillId="18" borderId="0" xfId="0" applyFont="1" applyFill="1"/>
    <xf numFmtId="0" fontId="5" fillId="13" borderId="6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vertical="center"/>
    </xf>
    <xf numFmtId="0" fontId="0" fillId="11" borderId="40" xfId="0" applyFill="1" applyBorder="1"/>
    <xf numFmtId="0" fontId="0" fillId="0" borderId="38" xfId="0" applyBorder="1"/>
    <xf numFmtId="0" fontId="0" fillId="11" borderId="6" xfId="0" applyFill="1" applyBorder="1"/>
    <xf numFmtId="0" fontId="5" fillId="0" borderId="1" xfId="0" applyFont="1" applyBorder="1"/>
    <xf numFmtId="0" fontId="0" fillId="0" borderId="33" xfId="0" applyBorder="1"/>
    <xf numFmtId="0" fontId="0" fillId="5" borderId="47" xfId="0" applyFill="1" applyBorder="1"/>
    <xf numFmtId="167" fontId="0" fillId="5" borderId="48" xfId="3" applyNumberFormat="1" applyFont="1" applyFill="1" applyBorder="1"/>
    <xf numFmtId="0" fontId="0" fillId="5" borderId="53" xfId="0" applyFill="1" applyBorder="1"/>
    <xf numFmtId="167" fontId="0" fillId="5" borderId="49" xfId="3" applyNumberFormat="1" applyFont="1" applyFill="1" applyBorder="1"/>
    <xf numFmtId="0" fontId="0" fillId="11" borderId="33" xfId="0" applyFill="1" applyBorder="1"/>
    <xf numFmtId="0" fontId="0" fillId="11" borderId="48" xfId="0" applyFill="1" applyBorder="1"/>
    <xf numFmtId="0" fontId="0" fillId="3" borderId="50" xfId="0" applyFill="1" applyBorder="1"/>
    <xf numFmtId="167" fontId="0" fillId="7" borderId="12" xfId="0" applyNumberFormat="1" applyFill="1" applyBorder="1" applyAlignment="1">
      <alignment horizontal="center" vertical="center"/>
    </xf>
    <xf numFmtId="167" fontId="0" fillId="6" borderId="26" xfId="0" applyNumberFormat="1" applyFill="1" applyBorder="1" applyAlignment="1">
      <alignment horizontal="center" vertical="center"/>
    </xf>
    <xf numFmtId="167" fontId="0" fillId="10" borderId="26" xfId="0" applyNumberFormat="1" applyFill="1" applyBorder="1" applyAlignment="1">
      <alignment horizontal="center" vertical="center"/>
    </xf>
    <xf numFmtId="167" fontId="0" fillId="9" borderId="26" xfId="0" applyNumberForma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67" fontId="0" fillId="6" borderId="12" xfId="0" applyNumberFormat="1" applyFill="1" applyBorder="1" applyAlignment="1">
      <alignment horizontal="center" vertical="center"/>
    </xf>
    <xf numFmtId="167" fontId="0" fillId="10" borderId="12" xfId="0" applyNumberFormat="1" applyFill="1" applyBorder="1" applyAlignment="1">
      <alignment horizontal="center" vertical="center"/>
    </xf>
    <xf numFmtId="167" fontId="0" fillId="9" borderId="12" xfId="0" applyNumberFormat="1" applyFill="1" applyBorder="1" applyAlignment="1">
      <alignment horizontal="center" vertical="center"/>
    </xf>
    <xf numFmtId="167" fontId="0" fillId="8" borderId="43" xfId="3" applyNumberFormat="1" applyFont="1" applyFill="1" applyBorder="1"/>
    <xf numFmtId="0" fontId="0" fillId="8" borderId="0" xfId="0" applyFill="1"/>
    <xf numFmtId="167" fontId="0" fillId="8" borderId="1" xfId="0" applyNumberFormat="1" applyFill="1" applyBorder="1" applyAlignment="1">
      <alignment horizontal="center" vertical="center"/>
    </xf>
    <xf numFmtId="9" fontId="0" fillId="8" borderId="26" xfId="1" applyFont="1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0" borderId="9" xfId="0" applyBorder="1"/>
    <xf numFmtId="0" fontId="0" fillId="0" borderId="56" xfId="0" applyBorder="1"/>
    <xf numFmtId="0" fontId="0" fillId="0" borderId="57" xfId="0" applyBorder="1"/>
    <xf numFmtId="0" fontId="0" fillId="3" borderId="54" xfId="0" applyFill="1" applyBorder="1"/>
    <xf numFmtId="0" fontId="0" fillId="0" borderId="58" xfId="0" applyBorder="1"/>
    <xf numFmtId="0" fontId="0" fillId="3" borderId="52" xfId="0" applyFill="1" applyBorder="1"/>
    <xf numFmtId="170" fontId="0" fillId="0" borderId="27" xfId="0" applyNumberFormat="1" applyBorder="1"/>
    <xf numFmtId="9" fontId="0" fillId="0" borderId="27" xfId="1" applyFont="1" applyBorder="1"/>
    <xf numFmtId="170" fontId="0" fillId="0" borderId="27" xfId="1" applyNumberFormat="1" applyFont="1" applyBorder="1"/>
    <xf numFmtId="165" fontId="0" fillId="0" borderId="27" xfId="0" applyNumberFormat="1" applyBorder="1"/>
    <xf numFmtId="1" fontId="0" fillId="0" borderId="27" xfId="0" applyNumberFormat="1" applyBorder="1"/>
    <xf numFmtId="167" fontId="0" fillId="3" borderId="50" xfId="0" applyNumberFormat="1" applyFill="1" applyBorder="1"/>
    <xf numFmtId="170" fontId="0" fillId="0" borderId="2" xfId="0" applyNumberFormat="1" applyBorder="1"/>
    <xf numFmtId="167" fontId="0" fillId="0" borderId="2" xfId="0" applyNumberFormat="1" applyBorder="1"/>
    <xf numFmtId="0" fontId="0" fillId="0" borderId="2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170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7" fontId="0" fillId="3" borderId="52" xfId="0" applyNumberFormat="1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67" fontId="0" fillId="0" borderId="58" xfId="0" applyNumberFormat="1" applyBorder="1"/>
    <xf numFmtId="168" fontId="0" fillId="0" borderId="58" xfId="0" applyNumberFormat="1" applyBorder="1"/>
    <xf numFmtId="165" fontId="0" fillId="0" borderId="2" xfId="0" applyNumberFormat="1" applyBorder="1"/>
    <xf numFmtId="0" fontId="0" fillId="0" borderId="61" xfId="0" applyBorder="1"/>
    <xf numFmtId="0" fontId="0" fillId="3" borderId="51" xfId="0" applyFill="1" applyBorder="1"/>
    <xf numFmtId="167" fontId="0" fillId="3" borderId="52" xfId="0" applyNumberFormat="1" applyFill="1" applyBorder="1"/>
    <xf numFmtId="167" fontId="0" fillId="3" borderId="43" xfId="3" applyNumberFormat="1" applyFont="1" applyFill="1" applyBorder="1"/>
    <xf numFmtId="167" fontId="0" fillId="3" borderId="50" xfId="3" applyNumberFormat="1" applyFont="1" applyFill="1" applyBorder="1"/>
    <xf numFmtId="167" fontId="0" fillId="5" borderId="50" xfId="3" applyNumberFormat="1" applyFont="1" applyFill="1" applyBorder="1"/>
    <xf numFmtId="167" fontId="0" fillId="11" borderId="50" xfId="3" applyNumberFormat="1" applyFont="1" applyFill="1" applyBorder="1"/>
    <xf numFmtId="167" fontId="0" fillId="8" borderId="0" xfId="3" applyNumberFormat="1" applyFont="1" applyFill="1"/>
    <xf numFmtId="0" fontId="5" fillId="13" borderId="7" xfId="0" applyFont="1" applyFill="1" applyBorder="1" applyAlignment="1">
      <alignment vertical="center"/>
    </xf>
    <xf numFmtId="167" fontId="0" fillId="8" borderId="1" xfId="3" applyNumberFormat="1" applyFont="1" applyFill="1" applyBorder="1"/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6" borderId="0" xfId="0" applyFill="1"/>
    <xf numFmtId="0" fontId="2" fillId="18" borderId="0" xfId="0" applyFont="1" applyFill="1" applyAlignment="1">
      <alignment horizontal="center" vertical="center"/>
    </xf>
    <xf numFmtId="0" fontId="0" fillId="8" borderId="35" xfId="0" applyFill="1" applyBorder="1"/>
    <xf numFmtId="167" fontId="0" fillId="8" borderId="51" xfId="3" applyNumberFormat="1" applyFont="1" applyFill="1" applyBorder="1"/>
    <xf numFmtId="168" fontId="0" fillId="6" borderId="1" xfId="0" applyNumberFormat="1" applyFill="1" applyBorder="1"/>
    <xf numFmtId="168" fontId="0" fillId="6" borderId="1" xfId="3" applyNumberFormat="1" applyFont="1" applyFill="1" applyBorder="1"/>
    <xf numFmtId="170" fontId="0" fillId="6" borderId="1" xfId="0" applyNumberFormat="1" applyFill="1" applyBorder="1"/>
    <xf numFmtId="0" fontId="0" fillId="3" borderId="34" xfId="0" applyFill="1" applyBorder="1"/>
    <xf numFmtId="167" fontId="0" fillId="3" borderId="42" xfId="3" applyNumberFormat="1" applyFont="1" applyFill="1" applyBorder="1"/>
    <xf numFmtId="9" fontId="0" fillId="6" borderId="0" xfId="1" applyFont="1" applyFill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15" borderId="6" xfId="0" applyFill="1" applyBorder="1"/>
    <xf numFmtId="168" fontId="0" fillId="15" borderId="1" xfId="0" applyNumberFormat="1" applyFill="1" applyBorder="1"/>
    <xf numFmtId="9" fontId="0" fillId="15" borderId="1" xfId="1" applyFont="1" applyFill="1" applyBorder="1" applyAlignment="1">
      <alignment horizontal="center"/>
    </xf>
    <xf numFmtId="0" fontId="2" fillId="0" borderId="0" xfId="0" applyFont="1"/>
    <xf numFmtId="0" fontId="0" fillId="21" borderId="1" xfId="0" applyFill="1" applyBorder="1"/>
    <xf numFmtId="0" fontId="0" fillId="17" borderId="1" xfId="0" applyFill="1" applyBorder="1"/>
    <xf numFmtId="0" fontId="0" fillId="17" borderId="38" xfId="0" applyFill="1" applyBorder="1"/>
    <xf numFmtId="0" fontId="0" fillId="17" borderId="27" xfId="0" applyFill="1" applyBorder="1"/>
    <xf numFmtId="0" fontId="2" fillId="10" borderId="1" xfId="0" applyFont="1" applyFill="1" applyBorder="1"/>
    <xf numFmtId="0" fontId="2" fillId="10" borderId="15" xfId="0" applyFont="1" applyFill="1" applyBorder="1"/>
    <xf numFmtId="0" fontId="2" fillId="10" borderId="4" xfId="0" applyFont="1" applyFill="1" applyBorder="1"/>
    <xf numFmtId="0" fontId="2" fillId="10" borderId="10" xfId="0" applyFont="1" applyFill="1" applyBorder="1"/>
    <xf numFmtId="0" fontId="2" fillId="10" borderId="26" xfId="0" applyFont="1" applyFill="1" applyBorder="1"/>
    <xf numFmtId="0" fontId="2" fillId="10" borderId="6" xfId="0" applyFont="1" applyFill="1" applyBorder="1"/>
    <xf numFmtId="0" fontId="2" fillId="6" borderId="19" xfId="0" applyFont="1" applyFill="1" applyBorder="1"/>
    <xf numFmtId="0" fontId="2" fillId="6" borderId="17" xfId="0" applyFont="1" applyFill="1" applyBorder="1"/>
    <xf numFmtId="0" fontId="2" fillId="6" borderId="18" xfId="0" applyFont="1" applyFill="1" applyBorder="1"/>
    <xf numFmtId="0" fontId="2" fillId="0" borderId="16" xfId="0" applyFont="1" applyBorder="1" applyAlignment="1">
      <alignment horizontal="center" vertical="center"/>
    </xf>
    <xf numFmtId="167" fontId="2" fillId="0" borderId="21" xfId="3" applyNumberFormat="1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67" fontId="2" fillId="0" borderId="22" xfId="3" applyNumberFormat="1" applyFont="1" applyBorder="1" applyAlignment="1">
      <alignment horizontal="center" vertical="center"/>
    </xf>
    <xf numFmtId="167" fontId="2" fillId="0" borderId="17" xfId="3" applyNumberFormat="1" applyFont="1" applyBorder="1" applyAlignment="1">
      <alignment horizontal="center" vertical="center"/>
    </xf>
    <xf numFmtId="167" fontId="2" fillId="0" borderId="17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67" fontId="2" fillId="0" borderId="23" xfId="3" applyNumberFormat="1" applyFont="1" applyBorder="1" applyAlignment="1">
      <alignment horizontal="center" vertical="center"/>
    </xf>
    <xf numFmtId="167" fontId="2" fillId="0" borderId="18" xfId="3" applyNumberFormat="1" applyFont="1" applyBorder="1" applyAlignment="1">
      <alignment horizontal="center" vertical="center"/>
    </xf>
    <xf numFmtId="167" fontId="2" fillId="0" borderId="18" xfId="0" applyNumberFormat="1" applyFont="1" applyBorder="1" applyAlignment="1">
      <alignment horizontal="center" vertical="center"/>
    </xf>
    <xf numFmtId="9" fontId="2" fillId="0" borderId="1" xfId="1" applyFont="1" applyBorder="1"/>
    <xf numFmtId="167" fontId="2" fillId="0" borderId="1" xfId="0" applyNumberFormat="1" applyFont="1" applyBorder="1"/>
    <xf numFmtId="9" fontId="2" fillId="0" borderId="1" xfId="0" applyNumberFormat="1" applyFont="1" applyBorder="1"/>
    <xf numFmtId="170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vertical="center"/>
    </xf>
    <xf numFmtId="0" fontId="0" fillId="0" borderId="36" xfId="0" applyBorder="1"/>
    <xf numFmtId="0" fontId="5" fillId="13" borderId="36" xfId="0" applyFont="1" applyFill="1" applyBorder="1" applyAlignment="1">
      <alignment vertical="center"/>
    </xf>
    <xf numFmtId="167" fontId="0" fillId="3" borderId="49" xfId="3" applyNumberFormat="1" applyFont="1" applyFill="1" applyBorder="1"/>
    <xf numFmtId="167" fontId="0" fillId="8" borderId="50" xfId="3" applyNumberFormat="1" applyFont="1" applyFill="1" applyBorder="1"/>
    <xf numFmtId="167" fontId="0" fillId="5" borderId="51" xfId="3" applyNumberFormat="1" applyFont="1" applyFill="1" applyBorder="1"/>
    <xf numFmtId="0" fontId="2" fillId="0" borderId="1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22" borderId="1" xfId="0" applyFill="1" applyBorder="1"/>
    <xf numFmtId="168" fontId="0" fillId="9" borderId="1" xfId="0" applyNumberFormat="1" applyFill="1" applyBorder="1"/>
    <xf numFmtId="9" fontId="0" fillId="9" borderId="1" xfId="1" applyFont="1" applyFill="1" applyBorder="1" applyAlignment="1">
      <alignment horizont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7" borderId="38" xfId="0" applyFill="1" applyBorder="1"/>
    <xf numFmtId="0" fontId="0" fillId="7" borderId="27" xfId="0" applyFill="1" applyBorder="1"/>
    <xf numFmtId="0" fontId="0" fillId="22" borderId="38" xfId="0" applyFill="1" applyBorder="1"/>
    <xf numFmtId="0" fontId="0" fillId="22" borderId="27" xfId="0" applyFill="1" applyBorder="1"/>
    <xf numFmtId="0" fontId="0" fillId="17" borderId="8" xfId="0" applyFill="1" applyBorder="1"/>
    <xf numFmtId="0" fontId="0" fillId="17" borderId="41" xfId="0" applyFill="1" applyBorder="1"/>
    <xf numFmtId="0" fontId="0" fillId="17" borderId="2" xfId="0" applyFill="1" applyBorder="1"/>
    <xf numFmtId="0" fontId="0" fillId="21" borderId="8" xfId="0" applyFill="1" applyBorder="1"/>
    <xf numFmtId="0" fontId="0" fillId="17" borderId="37" xfId="0" applyFill="1" applyBorder="1"/>
    <xf numFmtId="0" fontId="0" fillId="17" borderId="35" xfId="0" applyFill="1" applyBorder="1"/>
    <xf numFmtId="167" fontId="0" fillId="3" borderId="10" xfId="3" applyNumberFormat="1" applyFont="1" applyFill="1" applyBorder="1"/>
    <xf numFmtId="167" fontId="0" fillId="3" borderId="44" xfId="3" applyNumberFormat="1" applyFont="1" applyFill="1" applyBorder="1"/>
    <xf numFmtId="167" fontId="0" fillId="5" borderId="44" xfId="3" applyNumberFormat="1" applyFont="1" applyFill="1" applyBorder="1"/>
    <xf numFmtId="0" fontId="0" fillId="23" borderId="27" xfId="0" applyFill="1" applyBorder="1"/>
    <xf numFmtId="164" fontId="0" fillId="0" borderId="0" xfId="0" applyNumberFormat="1"/>
    <xf numFmtId="167" fontId="0" fillId="8" borderId="44" xfId="3" applyNumberFormat="1" applyFont="1" applyFill="1" applyBorder="1"/>
    <xf numFmtId="170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7" borderId="40" xfId="0" applyFill="1" applyBorder="1"/>
    <xf numFmtId="0" fontId="0" fillId="7" borderId="33" xfId="0" applyFill="1" applyBorder="1"/>
    <xf numFmtId="167" fontId="0" fillId="7" borderId="44" xfId="3" applyNumberFormat="1" applyFont="1" applyFill="1" applyBorder="1"/>
    <xf numFmtId="167" fontId="0" fillId="17" borderId="44" xfId="3" applyNumberFormat="1" applyFont="1" applyFill="1" applyBorder="1"/>
    <xf numFmtId="168" fontId="0" fillId="7" borderId="1" xfId="0" applyNumberFormat="1" applyFill="1" applyBorder="1"/>
    <xf numFmtId="9" fontId="0" fillId="7" borderId="1" xfId="1" applyFont="1" applyFill="1" applyBorder="1"/>
    <xf numFmtId="9" fontId="0" fillId="6" borderId="1" xfId="1" applyFont="1" applyFill="1" applyBorder="1"/>
    <xf numFmtId="0" fontId="0" fillId="22" borderId="50" xfId="0" applyFill="1" applyBorder="1"/>
    <xf numFmtId="0" fontId="0" fillId="8" borderId="50" xfId="0" applyFill="1" applyBorder="1"/>
    <xf numFmtId="167" fontId="0" fillId="5" borderId="1" xfId="3" applyNumberFormat="1" applyFont="1" applyFill="1" applyBorder="1"/>
    <xf numFmtId="168" fontId="0" fillId="5" borderId="27" xfId="0" applyNumberFormat="1" applyFill="1" applyBorder="1"/>
    <xf numFmtId="168" fontId="0" fillId="3" borderId="2" xfId="0" applyNumberFormat="1" applyFill="1" applyBorder="1"/>
    <xf numFmtId="168" fontId="0" fillId="3" borderId="27" xfId="0" applyNumberFormat="1" applyFill="1" applyBorder="1"/>
    <xf numFmtId="168" fontId="0" fillId="5" borderId="35" xfId="0" applyNumberFormat="1" applyFill="1" applyBorder="1"/>
    <xf numFmtId="168" fontId="0" fillId="2" borderId="27" xfId="0" applyNumberFormat="1" applyFill="1" applyBorder="1"/>
    <xf numFmtId="168" fontId="0" fillId="5" borderId="33" xfId="0" applyNumberFormat="1" applyFill="1" applyBorder="1"/>
    <xf numFmtId="168" fontId="0" fillId="0" borderId="34" xfId="0" applyNumberFormat="1" applyBorder="1"/>
    <xf numFmtId="168" fontId="0" fillId="0" borderId="27" xfId="0" applyNumberFormat="1" applyBorder="1"/>
    <xf numFmtId="168" fontId="0" fillId="7" borderId="35" xfId="0" applyNumberFormat="1" applyFill="1" applyBorder="1"/>
    <xf numFmtId="168" fontId="0" fillId="8" borderId="27" xfId="0" applyNumberFormat="1" applyFill="1" applyBorder="1"/>
    <xf numFmtId="168" fontId="0" fillId="0" borderId="18" xfId="0" applyNumberFormat="1" applyBorder="1"/>
    <xf numFmtId="168" fontId="0" fillId="3" borderId="1" xfId="0" applyNumberFormat="1" applyFill="1" applyBorder="1"/>
    <xf numFmtId="168" fontId="0" fillId="5" borderId="34" xfId="0" applyNumberFormat="1" applyFill="1" applyBorder="1"/>
    <xf numFmtId="168" fontId="0" fillId="0" borderId="35" xfId="0" applyNumberFormat="1" applyBorder="1"/>
    <xf numFmtId="168" fontId="0" fillId="5" borderId="2" xfId="0" applyNumberFormat="1" applyFill="1" applyBorder="1"/>
    <xf numFmtId="168" fontId="0" fillId="11" borderId="33" xfId="0" applyNumberFormat="1" applyFill="1" applyBorder="1"/>
    <xf numFmtId="168" fontId="0" fillId="8" borderId="35" xfId="0" applyNumberFormat="1" applyFill="1" applyBorder="1"/>
    <xf numFmtId="168" fontId="0" fillId="3" borderId="34" xfId="0" applyNumberFormat="1" applyFill="1" applyBorder="1"/>
    <xf numFmtId="168" fontId="0" fillId="17" borderId="35" xfId="0" applyNumberFormat="1" applyFill="1" applyBorder="1"/>
    <xf numFmtId="168" fontId="0" fillId="17" borderId="2" xfId="0" applyNumberFormat="1" applyFill="1" applyBorder="1"/>
    <xf numFmtId="168" fontId="0" fillId="17" borderId="27" xfId="0" applyNumberFormat="1" applyFill="1" applyBorder="1"/>
    <xf numFmtId="168" fontId="0" fillId="7" borderId="27" xfId="0" applyNumberFormat="1" applyFill="1" applyBorder="1"/>
    <xf numFmtId="168" fontId="0" fillId="7" borderId="33" xfId="0" applyNumberFormat="1" applyFill="1" applyBorder="1"/>
    <xf numFmtId="167" fontId="0" fillId="6" borderId="1" xfId="0" applyNumberFormat="1" applyFill="1" applyBorder="1"/>
    <xf numFmtId="167" fontId="0" fillId="5" borderId="38" xfId="0" applyNumberFormat="1" applyFill="1" applyBorder="1"/>
    <xf numFmtId="1" fontId="0" fillId="5" borderId="27" xfId="0" applyNumberFormat="1" applyFill="1" applyBorder="1"/>
    <xf numFmtId="167" fontId="0" fillId="5" borderId="1" xfId="0" applyNumberFormat="1" applyFill="1" applyBorder="1" applyAlignment="1">
      <alignment horizontal="left" vertical="top"/>
    </xf>
    <xf numFmtId="0" fontId="0" fillId="15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167" fontId="0" fillId="24" borderId="1" xfId="0" applyNumberFormat="1" applyFill="1" applyBorder="1"/>
    <xf numFmtId="0" fontId="0" fillId="24" borderId="1" xfId="0" applyFill="1" applyBorder="1"/>
    <xf numFmtId="0" fontId="0" fillId="24" borderId="1" xfId="0" applyFill="1" applyBorder="1" applyAlignment="1">
      <alignment vertical="center"/>
    </xf>
    <xf numFmtId="167" fontId="0" fillId="5" borderId="54" xfId="3" applyNumberFormat="1" applyFont="1" applyFill="1" applyBorder="1"/>
    <xf numFmtId="9" fontId="0" fillId="24" borderId="26" xfId="1" applyFont="1" applyFill="1" applyBorder="1"/>
    <xf numFmtId="170" fontId="2" fillId="0" borderId="1" xfId="0" applyNumberFormat="1" applyFont="1" applyBorder="1"/>
    <xf numFmtId="0" fontId="0" fillId="5" borderId="56" xfId="0" applyFill="1" applyBorder="1"/>
    <xf numFmtId="0" fontId="0" fillId="8" borderId="55" xfId="0" applyFill="1" applyBorder="1"/>
    <xf numFmtId="0" fontId="0" fillId="8" borderId="34" xfId="0" applyFill="1" applyBorder="1"/>
    <xf numFmtId="0" fontId="0" fillId="8" borderId="49" xfId="0" applyFill="1" applyBorder="1"/>
    <xf numFmtId="0" fontId="0" fillId="8" borderId="56" xfId="0" applyFill="1" applyBorder="1"/>
    <xf numFmtId="167" fontId="0" fillId="5" borderId="50" xfId="0" applyNumberFormat="1" applyFill="1" applyBorder="1"/>
    <xf numFmtId="167" fontId="0" fillId="9" borderId="0" xfId="0" applyNumberFormat="1" applyFill="1"/>
    <xf numFmtId="0" fontId="0" fillId="9" borderId="7" xfId="0" applyFill="1" applyBorder="1" applyAlignment="1">
      <alignment vertical="center"/>
    </xf>
    <xf numFmtId="9" fontId="0" fillId="9" borderId="26" xfId="1" applyFont="1" applyFill="1" applyBorder="1"/>
    <xf numFmtId="0" fontId="5" fillId="0" borderId="36" xfId="0" applyFont="1" applyBorder="1"/>
    <xf numFmtId="167" fontId="0" fillId="9" borderId="1" xfId="0" applyNumberFormat="1" applyFill="1" applyBorder="1"/>
    <xf numFmtId="0" fontId="0" fillId="8" borderId="57" xfId="0" applyFill="1" applyBorder="1"/>
    <xf numFmtId="0" fontId="0" fillId="8" borderId="33" xfId="0" applyFill="1" applyBorder="1"/>
    <xf numFmtId="168" fontId="0" fillId="8" borderId="33" xfId="0" applyNumberFormat="1" applyFill="1" applyBorder="1"/>
    <xf numFmtId="0" fontId="0" fillId="5" borderId="55" xfId="0" applyFill="1" applyBorder="1"/>
    <xf numFmtId="167" fontId="0" fillId="9" borderId="6" xfId="0" applyNumberFormat="1" applyFill="1" applyBorder="1"/>
    <xf numFmtId="9" fontId="0" fillId="9" borderId="11" xfId="1" applyFont="1" applyFill="1" applyBorder="1"/>
    <xf numFmtId="167" fontId="0" fillId="0" borderId="0" xfId="0" applyNumberFormat="1"/>
    <xf numFmtId="170" fontId="0" fillId="0" borderId="0" xfId="0" applyNumberFormat="1"/>
    <xf numFmtId="165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7" fontId="0" fillId="8" borderId="54" xfId="0" applyNumberFormat="1" applyFill="1" applyBorder="1"/>
    <xf numFmtId="167" fontId="0" fillId="5" borderId="49" xfId="0" applyNumberFormat="1" applyFill="1" applyBorder="1"/>
    <xf numFmtId="0" fontId="0" fillId="5" borderId="61" xfId="0" applyFill="1" applyBorder="1"/>
    <xf numFmtId="167" fontId="0" fillId="6" borderId="6" xfId="0" applyNumberFormat="1" applyFill="1" applyBorder="1" applyAlignment="1">
      <alignment horizontal="center" vertical="center"/>
    </xf>
    <xf numFmtId="167" fontId="0" fillId="7" borderId="6" xfId="0" applyNumberFormat="1" applyFill="1" applyBorder="1" applyAlignment="1">
      <alignment horizontal="center" vertical="center"/>
    </xf>
    <xf numFmtId="172" fontId="0" fillId="5" borderId="27" xfId="3" applyNumberFormat="1" applyFont="1" applyFill="1" applyBorder="1"/>
    <xf numFmtId="167" fontId="0" fillId="8" borderId="50" xfId="0" applyNumberFormat="1" applyFill="1" applyBorder="1"/>
    <xf numFmtId="0" fontId="2" fillId="0" borderId="1" xfId="0" applyFont="1" applyBorder="1"/>
    <xf numFmtId="0" fontId="0" fillId="0" borderId="55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167" fontId="0" fillId="5" borderId="54" xfId="0" applyNumberFormat="1" applyFill="1" applyBorder="1"/>
    <xf numFmtId="167" fontId="0" fillId="5" borderId="33" xfId="0" applyNumberFormat="1" applyFill="1" applyBorder="1"/>
    <xf numFmtId="0" fontId="0" fillId="5" borderId="57" xfId="0" applyFill="1" applyBorder="1"/>
    <xf numFmtId="0" fontId="0" fillId="5" borderId="59" xfId="0" applyFill="1" applyBorder="1"/>
    <xf numFmtId="168" fontId="0" fillId="5" borderId="59" xfId="0" applyNumberFormat="1" applyFill="1" applyBorder="1"/>
    <xf numFmtId="167" fontId="0" fillId="5" borderId="60" xfId="0" applyNumberFormat="1" applyFill="1" applyBorder="1"/>
    <xf numFmtId="0" fontId="0" fillId="3" borderId="56" xfId="0" applyFill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16" borderId="26" xfId="0" applyFont="1" applyFill="1" applyBorder="1"/>
    <xf numFmtId="167" fontId="0" fillId="8" borderId="1" xfId="0" applyNumberFormat="1" applyFill="1" applyBorder="1"/>
    <xf numFmtId="9" fontId="0" fillId="8" borderId="1" xfId="1" applyFont="1" applyFill="1" applyBorder="1"/>
    <xf numFmtId="9" fontId="0" fillId="8" borderId="13" xfId="1" applyFont="1" applyFill="1" applyBorder="1"/>
    <xf numFmtId="167" fontId="0" fillId="8" borderId="0" xfId="0" applyNumberFormat="1" applyFill="1"/>
    <xf numFmtId="167" fontId="0" fillId="5" borderId="1" xfId="0" applyNumberFormat="1" applyFill="1" applyBorder="1"/>
    <xf numFmtId="9" fontId="0" fillId="5" borderId="1" xfId="1" applyFont="1" applyFill="1" applyBorder="1"/>
    <xf numFmtId="173" fontId="0" fillId="5" borderId="27" xfId="0" applyNumberFormat="1" applyFill="1" applyBorder="1"/>
    <xf numFmtId="173" fontId="0" fillId="8" borderId="27" xfId="0" applyNumberFormat="1" applyFill="1" applyBorder="1"/>
    <xf numFmtId="173" fontId="0" fillId="5" borderId="35" xfId="0" applyNumberFormat="1" applyFill="1" applyBorder="1"/>
    <xf numFmtId="173" fontId="0" fillId="5" borderId="2" xfId="0" applyNumberFormat="1" applyFill="1" applyBorder="1"/>
    <xf numFmtId="3" fontId="0" fillId="5" borderId="2" xfId="0" applyNumberFormat="1" applyFill="1" applyBorder="1"/>
    <xf numFmtId="0" fontId="0" fillId="5" borderId="67" xfId="0" applyFill="1" applyBorder="1"/>
    <xf numFmtId="0" fontId="0" fillId="5" borderId="68" xfId="0" applyFill="1" applyBorder="1"/>
    <xf numFmtId="0" fontId="0" fillId="5" borderId="69" xfId="0" applyFill="1" applyBorder="1"/>
    <xf numFmtId="173" fontId="0" fillId="5" borderId="69" xfId="0" applyNumberFormat="1" applyFill="1" applyBorder="1"/>
    <xf numFmtId="0" fontId="0" fillId="5" borderId="70" xfId="0" applyFill="1" applyBorder="1"/>
    <xf numFmtId="16" fontId="0" fillId="5" borderId="70" xfId="0" applyNumberFormat="1" applyFill="1" applyBorder="1"/>
    <xf numFmtId="0" fontId="0" fillId="5" borderId="72" xfId="0" applyFill="1" applyBorder="1"/>
    <xf numFmtId="173" fontId="0" fillId="5" borderId="33" xfId="0" applyNumberFormat="1" applyFill="1" applyBorder="1"/>
    <xf numFmtId="0" fontId="0" fillId="26" borderId="0" xfId="0" applyFill="1"/>
    <xf numFmtId="0" fontId="0" fillId="9" borderId="0" xfId="0" applyFill="1"/>
    <xf numFmtId="16" fontId="0" fillId="0" borderId="0" xfId="0" applyNumberFormat="1"/>
    <xf numFmtId="16" fontId="0" fillId="5" borderId="71" xfId="0" applyNumberFormat="1" applyFill="1" applyBorder="1"/>
    <xf numFmtId="0" fontId="0" fillId="26" borderId="62" xfId="0" applyFill="1" applyBorder="1"/>
    <xf numFmtId="9" fontId="0" fillId="26" borderId="26" xfId="1" applyFont="1" applyFill="1" applyBorder="1"/>
    <xf numFmtId="0" fontId="0" fillId="26" borderId="62" xfId="0" applyFill="1" applyBorder="1" applyAlignment="1">
      <alignment vertical="center"/>
    </xf>
    <xf numFmtId="167" fontId="0" fillId="26" borderId="26" xfId="0" applyNumberFormat="1" applyFill="1" applyBorder="1"/>
    <xf numFmtId="9" fontId="0" fillId="26" borderId="45" xfId="1" applyFont="1" applyFill="1" applyBorder="1"/>
    <xf numFmtId="0" fontId="0" fillId="5" borderId="0" xfId="0" applyFill="1"/>
    <xf numFmtId="0" fontId="0" fillId="26" borderId="75" xfId="0" applyFill="1" applyBorder="1"/>
    <xf numFmtId="0" fontId="0" fillId="9" borderId="75" xfId="0" applyFill="1" applyBorder="1"/>
    <xf numFmtId="167" fontId="0" fillId="9" borderId="26" xfId="0" applyNumberFormat="1" applyFill="1" applyBorder="1"/>
    <xf numFmtId="0" fontId="0" fillId="9" borderId="62" xfId="0" applyFill="1" applyBorder="1"/>
    <xf numFmtId="167" fontId="0" fillId="26" borderId="45" xfId="0" applyNumberFormat="1" applyFill="1" applyBorder="1"/>
    <xf numFmtId="167" fontId="0" fillId="26" borderId="36" xfId="0" applyNumberFormat="1" applyFill="1" applyBorder="1"/>
    <xf numFmtId="167" fontId="0" fillId="9" borderId="36" xfId="0" applyNumberFormat="1" applyFill="1" applyBorder="1"/>
    <xf numFmtId="9" fontId="0" fillId="9" borderId="45" xfId="1" applyFont="1" applyFill="1" applyBorder="1"/>
    <xf numFmtId="167" fontId="0" fillId="5" borderId="78" xfId="0" applyNumberFormat="1" applyFill="1" applyBorder="1"/>
    <xf numFmtId="167" fontId="0" fillId="5" borderId="43" xfId="0" applyNumberFormat="1" applyFill="1" applyBorder="1"/>
    <xf numFmtId="16" fontId="0" fillId="5" borderId="79" xfId="0" applyNumberFormat="1" applyFill="1" applyBorder="1"/>
    <xf numFmtId="0" fontId="0" fillId="5" borderId="80" xfId="0" applyFill="1" applyBorder="1"/>
    <xf numFmtId="173" fontId="0" fillId="5" borderId="72" xfId="0" applyNumberFormat="1" applyFill="1" applyBorder="1"/>
    <xf numFmtId="0" fontId="0" fillId="19" borderId="27" xfId="0" applyFill="1" applyBorder="1"/>
    <xf numFmtId="0" fontId="0" fillId="19" borderId="0" xfId="0" applyFill="1"/>
    <xf numFmtId="0" fontId="0" fillId="19" borderId="81" xfId="0" applyFill="1" applyBorder="1"/>
    <xf numFmtId="167" fontId="0" fillId="9" borderId="82" xfId="0" applyNumberFormat="1" applyFill="1" applyBorder="1"/>
    <xf numFmtId="9" fontId="0" fillId="9" borderId="82" xfId="1" applyFont="1" applyFill="1" applyBorder="1"/>
    <xf numFmtId="0" fontId="0" fillId="0" borderId="46" xfId="0" applyBorder="1"/>
    <xf numFmtId="0" fontId="0" fillId="19" borderId="43" xfId="0" applyFill="1" applyBorder="1"/>
    <xf numFmtId="175" fontId="0" fillId="5" borderId="43" xfId="0" applyNumberFormat="1" applyFill="1" applyBorder="1"/>
    <xf numFmtId="175" fontId="0" fillId="5" borderId="27" xfId="0" applyNumberFormat="1" applyFill="1" applyBorder="1"/>
    <xf numFmtId="9" fontId="0" fillId="19" borderId="81" xfId="1" applyFont="1" applyFill="1" applyBorder="1"/>
    <xf numFmtId="0" fontId="0" fillId="19" borderId="75" xfId="0" applyFill="1" applyBorder="1"/>
    <xf numFmtId="9" fontId="0" fillId="19" borderId="83" xfId="1" applyFont="1" applyFill="1" applyBorder="1"/>
    <xf numFmtId="0" fontId="0" fillId="19" borderId="62" xfId="0" applyFill="1" applyBorder="1"/>
    <xf numFmtId="0" fontId="0" fillId="19" borderId="63" xfId="0" applyFill="1" applyBorder="1"/>
    <xf numFmtId="167" fontId="0" fillId="19" borderId="76" xfId="0" applyNumberFormat="1" applyFill="1" applyBorder="1"/>
    <xf numFmtId="9" fontId="0" fillId="19" borderId="76" xfId="1" applyFont="1" applyFill="1" applyBorder="1"/>
    <xf numFmtId="16" fontId="0" fillId="3" borderId="41" xfId="0" applyNumberFormat="1" applyFill="1" applyBorder="1"/>
    <xf numFmtId="16" fontId="0" fillId="19" borderId="41" xfId="0" applyNumberFormat="1" applyFill="1" applyBorder="1"/>
    <xf numFmtId="16" fontId="0" fillId="5" borderId="41" xfId="0" applyNumberFormat="1" applyFill="1" applyBorder="1"/>
    <xf numFmtId="16" fontId="0" fillId="5" borderId="21" xfId="0" applyNumberFormat="1" applyFill="1" applyBorder="1"/>
    <xf numFmtId="0" fontId="2" fillId="16" borderId="6" xfId="0" applyFont="1" applyFill="1" applyBorder="1"/>
    <xf numFmtId="0" fontId="0" fillId="0" borderId="67" xfId="0" applyBorder="1"/>
    <xf numFmtId="0" fontId="0" fillId="3" borderId="67" xfId="0" applyFill="1" applyBorder="1"/>
    <xf numFmtId="0" fontId="0" fillId="3" borderId="48" xfId="0" applyFill="1" applyBorder="1"/>
    <xf numFmtId="0" fontId="0" fillId="5" borderId="84" xfId="0" applyFill="1" applyBorder="1"/>
    <xf numFmtId="0" fontId="0" fillId="5" borderId="85" xfId="0" applyFill="1" applyBorder="1"/>
    <xf numFmtId="16" fontId="0" fillId="19" borderId="87" xfId="0" applyNumberFormat="1" applyFill="1" applyBorder="1"/>
    <xf numFmtId="0" fontId="0" fillId="19" borderId="33" xfId="0" applyFill="1" applyBorder="1"/>
    <xf numFmtId="175" fontId="0" fillId="19" borderId="48" xfId="0" applyNumberFormat="1" applyFill="1" applyBorder="1"/>
    <xf numFmtId="173" fontId="0" fillId="5" borderId="85" xfId="0" applyNumberFormat="1" applyFill="1" applyBorder="1"/>
    <xf numFmtId="16" fontId="0" fillId="5" borderId="88" xfId="0" applyNumberFormat="1" applyFill="1" applyBorder="1"/>
    <xf numFmtId="16" fontId="0" fillId="3" borderId="87" xfId="0" applyNumberFormat="1" applyFill="1" applyBorder="1"/>
    <xf numFmtId="16" fontId="0" fillId="5" borderId="89" xfId="0" applyNumberFormat="1" applyFill="1" applyBorder="1"/>
    <xf numFmtId="0" fontId="0" fillId="5" borderId="86" xfId="0" applyFill="1" applyBorder="1"/>
    <xf numFmtId="167" fontId="0" fillId="5" borderId="67" xfId="0" applyNumberFormat="1" applyFill="1" applyBorder="1"/>
    <xf numFmtId="0" fontId="0" fillId="5" borderId="73" xfId="0" applyFill="1" applyBorder="1"/>
    <xf numFmtId="9" fontId="0" fillId="5" borderId="84" xfId="1" applyFont="1" applyFill="1" applyBorder="1"/>
    <xf numFmtId="0" fontId="0" fillId="5" borderId="91" xfId="0" applyFill="1" applyBorder="1"/>
    <xf numFmtId="167" fontId="0" fillId="19" borderId="75" xfId="0" applyNumberFormat="1" applyFill="1" applyBorder="1"/>
    <xf numFmtId="167" fontId="0" fillId="19" borderId="73" xfId="0" applyNumberFormat="1" applyFill="1" applyBorder="1"/>
    <xf numFmtId="167" fontId="0" fillId="19" borderId="77" xfId="0" applyNumberFormat="1" applyFill="1" applyBorder="1"/>
    <xf numFmtId="175" fontId="0" fillId="5" borderId="92" xfId="0" applyNumberFormat="1" applyFill="1" applyBorder="1"/>
    <xf numFmtId="0" fontId="0" fillId="0" borderId="84" xfId="0" applyBorder="1"/>
    <xf numFmtId="168" fontId="0" fillId="5" borderId="67" xfId="0" applyNumberFormat="1" applyFill="1" applyBorder="1"/>
    <xf numFmtId="171" fontId="0" fillId="5" borderId="84" xfId="0" applyNumberFormat="1" applyFill="1" applyBorder="1"/>
    <xf numFmtId="175" fontId="0" fillId="5" borderId="67" xfId="0" applyNumberFormat="1" applyFill="1" applyBorder="1"/>
    <xf numFmtId="167" fontId="0" fillId="15" borderId="67" xfId="0" applyNumberFormat="1" applyFill="1" applyBorder="1"/>
    <xf numFmtId="9" fontId="0" fillId="15" borderId="84" xfId="1" applyFont="1" applyFill="1" applyBorder="1"/>
    <xf numFmtId="16" fontId="0" fillId="5" borderId="93" xfId="0" applyNumberFormat="1" applyFill="1" applyBorder="1"/>
    <xf numFmtId="0" fontId="0" fillId="5" borderId="94" xfId="0" applyFill="1" applyBorder="1"/>
    <xf numFmtId="175" fontId="0" fillId="5" borderId="91" xfId="0" applyNumberFormat="1" applyFill="1" applyBorder="1"/>
    <xf numFmtId="171" fontId="0" fillId="5" borderId="94" xfId="0" applyNumberFormat="1" applyFill="1" applyBorder="1"/>
    <xf numFmtId="0" fontId="0" fillId="5" borderId="95" xfId="0" applyFill="1" applyBorder="1"/>
    <xf numFmtId="175" fontId="0" fillId="5" borderId="95" xfId="0" applyNumberFormat="1" applyFill="1" applyBorder="1"/>
    <xf numFmtId="16" fontId="0" fillId="5" borderId="96" xfId="0" applyNumberFormat="1" applyFill="1" applyBorder="1"/>
    <xf numFmtId="171" fontId="0" fillId="5" borderId="97" xfId="0" applyNumberFormat="1" applyFill="1" applyBorder="1"/>
    <xf numFmtId="0" fontId="0" fillId="15" borderId="67" xfId="0" applyFill="1" applyBorder="1"/>
    <xf numFmtId="167" fontId="0" fillId="5" borderId="91" xfId="0" applyNumberFormat="1" applyFill="1" applyBorder="1"/>
    <xf numFmtId="9" fontId="0" fillId="5" borderId="94" xfId="1" applyFont="1" applyFill="1" applyBorder="1"/>
    <xf numFmtId="0" fontId="0" fillId="15" borderId="73" xfId="0" applyFill="1" applyBorder="1"/>
    <xf numFmtId="0" fontId="0" fillId="15" borderId="74" xfId="0" applyFill="1" applyBorder="1"/>
    <xf numFmtId="10" fontId="0" fillId="15" borderId="74" xfId="0" applyNumberFormat="1" applyFill="1" applyBorder="1"/>
    <xf numFmtId="167" fontId="0" fillId="15" borderId="74" xfId="0" applyNumberFormat="1" applyFill="1" applyBorder="1"/>
    <xf numFmtId="165" fontId="0" fillId="15" borderId="74" xfId="0" applyNumberFormat="1" applyFill="1" applyBorder="1"/>
    <xf numFmtId="173" fontId="0" fillId="15" borderId="74" xfId="0" applyNumberFormat="1" applyFill="1" applyBorder="1"/>
    <xf numFmtId="175" fontId="0" fillId="5" borderId="86" xfId="0" applyNumberFormat="1" applyFill="1" applyBorder="1"/>
    <xf numFmtId="16" fontId="0" fillId="8" borderId="89" xfId="0" applyNumberFormat="1" applyFill="1" applyBorder="1"/>
    <xf numFmtId="0" fontId="0" fillId="8" borderId="67" xfId="0" applyFill="1" applyBorder="1"/>
    <xf numFmtId="175" fontId="0" fillId="8" borderId="67" xfId="0" applyNumberFormat="1" applyFill="1" applyBorder="1"/>
    <xf numFmtId="0" fontId="0" fillId="27" borderId="67" xfId="0" applyFill="1" applyBorder="1"/>
    <xf numFmtId="171" fontId="0" fillId="8" borderId="97" xfId="0" applyNumberFormat="1" applyFill="1" applyBorder="1"/>
    <xf numFmtId="167" fontId="0" fillId="28" borderId="67" xfId="0" applyNumberFormat="1" applyFill="1" applyBorder="1"/>
    <xf numFmtId="0" fontId="0" fillId="28" borderId="67" xfId="0" applyFill="1" applyBorder="1"/>
    <xf numFmtId="9" fontId="0" fillId="28" borderId="84" xfId="1" applyFont="1" applyFill="1" applyBorder="1"/>
    <xf numFmtId="175" fontId="0" fillId="5" borderId="0" xfId="0" applyNumberFormat="1" applyFill="1"/>
    <xf numFmtId="0" fontId="0" fillId="17" borderId="0" xfId="0" applyFill="1"/>
    <xf numFmtId="167" fontId="0" fillId="17" borderId="67" xfId="0" applyNumberFormat="1" applyFill="1" applyBorder="1"/>
    <xf numFmtId="9" fontId="0" fillId="17" borderId="84" xfId="1" applyFont="1" applyFill="1" applyBorder="1"/>
    <xf numFmtId="171" fontId="0" fillId="5" borderId="98" xfId="0" applyNumberFormat="1" applyFill="1" applyBorder="1"/>
    <xf numFmtId="0" fontId="0" fillId="17" borderId="67" xfId="0" applyFill="1" applyBorder="1"/>
    <xf numFmtId="167" fontId="0" fillId="17" borderId="91" xfId="0" applyNumberFormat="1" applyFill="1" applyBorder="1"/>
    <xf numFmtId="9" fontId="0" fillId="17" borderId="94" xfId="1" applyFont="1" applyFill="1" applyBorder="1"/>
    <xf numFmtId="175" fontId="0" fillId="5" borderId="89" xfId="0" applyNumberFormat="1" applyFill="1" applyBorder="1"/>
    <xf numFmtId="175" fontId="0" fillId="5" borderId="93" xfId="0" applyNumberFormat="1" applyFill="1" applyBorder="1"/>
    <xf numFmtId="0" fontId="0" fillId="19" borderId="67" xfId="0" applyFill="1" applyBorder="1"/>
    <xf numFmtId="175" fontId="0" fillId="19" borderId="67" xfId="0" applyNumberFormat="1" applyFill="1" applyBorder="1"/>
    <xf numFmtId="175" fontId="0" fillId="19" borderId="89" xfId="0" applyNumberFormat="1" applyFill="1" applyBorder="1"/>
    <xf numFmtId="16" fontId="0" fillId="19" borderId="89" xfId="0" applyNumberFormat="1" applyFill="1" applyBorder="1"/>
    <xf numFmtId="171" fontId="0" fillId="19" borderId="84" xfId="0" applyNumberFormat="1" applyFill="1" applyBorder="1"/>
    <xf numFmtId="16" fontId="0" fillId="3" borderId="89" xfId="0" applyNumberFormat="1" applyFill="1" applyBorder="1"/>
    <xf numFmtId="175" fontId="0" fillId="3" borderId="67" xfId="0" applyNumberFormat="1" applyFill="1" applyBorder="1"/>
    <xf numFmtId="175" fontId="0" fillId="3" borderId="89" xfId="0" applyNumberFormat="1" applyFill="1" applyBorder="1"/>
    <xf numFmtId="171" fontId="0" fillId="3" borderId="84" xfId="0" applyNumberFormat="1" applyFill="1" applyBorder="1"/>
    <xf numFmtId="167" fontId="0" fillId="19" borderId="67" xfId="0" applyNumberFormat="1" applyFill="1" applyBorder="1"/>
    <xf numFmtId="9" fontId="0" fillId="19" borderId="84" xfId="1" applyFont="1" applyFill="1" applyBorder="1"/>
    <xf numFmtId="16" fontId="0" fillId="3" borderId="99" xfId="0" applyNumberFormat="1" applyFill="1" applyBorder="1"/>
    <xf numFmtId="175" fontId="0" fillId="0" borderId="67" xfId="0" applyNumberFormat="1" applyBorder="1"/>
    <xf numFmtId="16" fontId="0" fillId="5" borderId="99" xfId="0" applyNumberFormat="1" applyFill="1" applyBorder="1"/>
    <xf numFmtId="3" fontId="0" fillId="5" borderId="67" xfId="0" applyNumberFormat="1" applyFill="1" applyBorder="1"/>
    <xf numFmtId="3" fontId="0" fillId="3" borderId="67" xfId="0" applyNumberFormat="1" applyFill="1" applyBorder="1"/>
    <xf numFmtId="176" fontId="0" fillId="5" borderId="84" xfId="0" applyNumberFormat="1" applyFill="1" applyBorder="1"/>
    <xf numFmtId="0" fontId="5" fillId="0" borderId="26" xfId="0" applyFont="1" applyBorder="1"/>
    <xf numFmtId="0" fontId="0" fillId="0" borderId="26" xfId="0" applyBorder="1"/>
    <xf numFmtId="0" fontId="5" fillId="0" borderId="45" xfId="0" applyFont="1" applyBorder="1"/>
    <xf numFmtId="0" fontId="5" fillId="17" borderId="45" xfId="0" applyFont="1" applyFill="1" applyBorder="1"/>
    <xf numFmtId="0" fontId="0" fillId="0" borderId="45" xfId="0" applyBorder="1"/>
    <xf numFmtId="0" fontId="5" fillId="0" borderId="0" xfId="0" applyFont="1"/>
    <xf numFmtId="0" fontId="2" fillId="0" borderId="76" xfId="0" applyFont="1" applyBorder="1"/>
    <xf numFmtId="0" fontId="0" fillId="0" borderId="83" xfId="0" applyBorder="1"/>
    <xf numFmtId="0" fontId="2" fillId="0" borderId="83" xfId="0" applyFont="1" applyBorder="1"/>
    <xf numFmtId="0" fontId="2" fillId="0" borderId="84" xfId="0" applyFont="1" applyBorder="1"/>
    <xf numFmtId="0" fontId="2" fillId="0" borderId="94" xfId="0" applyFont="1" applyBorder="1"/>
    <xf numFmtId="0" fontId="2" fillId="0" borderId="67" xfId="0" applyFont="1" applyBorder="1"/>
    <xf numFmtId="16" fontId="0" fillId="5" borderId="100" xfId="0" applyNumberFormat="1" applyFill="1" applyBorder="1"/>
    <xf numFmtId="3" fontId="0" fillId="5" borderId="91" xfId="0" applyNumberFormat="1" applyFill="1" applyBorder="1"/>
    <xf numFmtId="176" fontId="0" fillId="5" borderId="94" xfId="0" applyNumberFormat="1" applyFill="1" applyBorder="1"/>
    <xf numFmtId="9" fontId="0" fillId="5" borderId="67" xfId="1" applyFont="1" applyFill="1" applyBorder="1"/>
    <xf numFmtId="167" fontId="0" fillId="19" borderId="91" xfId="0" applyNumberFormat="1" applyFill="1" applyBorder="1"/>
    <xf numFmtId="9" fontId="0" fillId="19" borderId="94" xfId="1" applyFont="1" applyFill="1" applyBorder="1"/>
    <xf numFmtId="0" fontId="2" fillId="16" borderId="73" xfId="0" applyFont="1" applyFill="1" applyBorder="1"/>
    <xf numFmtId="1" fontId="2" fillId="0" borderId="16" xfId="0" applyNumberFormat="1" applyFont="1" applyBorder="1" applyAlignment="1">
      <alignment horizontal="center" vertical="center"/>
    </xf>
    <xf numFmtId="0" fontId="4" fillId="6" borderId="73" xfId="0" applyFont="1" applyFill="1" applyBorder="1"/>
    <xf numFmtId="3" fontId="0" fillId="19" borderId="67" xfId="0" applyNumberFormat="1" applyFill="1" applyBorder="1"/>
    <xf numFmtId="9" fontId="0" fillId="15" borderId="99" xfId="1" applyFont="1" applyFill="1" applyBorder="1"/>
    <xf numFmtId="16" fontId="0" fillId="5" borderId="102" xfId="0" applyNumberFormat="1" applyFill="1" applyBorder="1"/>
    <xf numFmtId="175" fontId="0" fillId="5" borderId="103" xfId="0" applyNumberFormat="1" applyFill="1" applyBorder="1"/>
    <xf numFmtId="16" fontId="0" fillId="19" borderId="102" xfId="0" applyNumberFormat="1" applyFill="1" applyBorder="1"/>
    <xf numFmtId="175" fontId="0" fillId="19" borderId="103" xfId="0" applyNumberFormat="1" applyFill="1" applyBorder="1"/>
    <xf numFmtId="0" fontId="0" fillId="19" borderId="103" xfId="0" applyFill="1" applyBorder="1"/>
    <xf numFmtId="16" fontId="0" fillId="19" borderId="104" xfId="0" applyNumberFormat="1" applyFill="1" applyBorder="1"/>
    <xf numFmtId="0" fontId="0" fillId="19" borderId="86" xfId="0" applyFill="1" applyBorder="1"/>
    <xf numFmtId="175" fontId="0" fillId="19" borderId="86" xfId="0" applyNumberFormat="1" applyFill="1" applyBorder="1"/>
    <xf numFmtId="3" fontId="0" fillId="19" borderId="86" xfId="0" applyNumberFormat="1" applyFill="1" applyBorder="1"/>
    <xf numFmtId="0" fontId="0" fillId="19" borderId="105" xfId="0" applyFill="1" applyBorder="1"/>
    <xf numFmtId="0" fontId="0" fillId="5" borderId="101" xfId="0" applyFill="1" applyBorder="1"/>
    <xf numFmtId="175" fontId="0" fillId="5" borderId="101" xfId="0" applyNumberFormat="1" applyFill="1" applyBorder="1"/>
    <xf numFmtId="3" fontId="0" fillId="5" borderId="101" xfId="0" applyNumberFormat="1" applyFill="1" applyBorder="1"/>
    <xf numFmtId="16" fontId="0" fillId="5" borderId="106" xfId="0" applyNumberFormat="1" applyFill="1" applyBorder="1"/>
    <xf numFmtId="3" fontId="0" fillId="5" borderId="95" xfId="0" applyNumberFormat="1" applyFill="1" applyBorder="1"/>
    <xf numFmtId="176" fontId="0" fillId="5" borderId="107" xfId="0" applyNumberFormat="1" applyFill="1" applyBorder="1"/>
    <xf numFmtId="176" fontId="0" fillId="5" borderId="103" xfId="0" applyNumberFormat="1" applyFill="1" applyBorder="1"/>
    <xf numFmtId="16" fontId="0" fillId="3" borderId="102" xfId="0" applyNumberFormat="1" applyFill="1" applyBorder="1"/>
    <xf numFmtId="0" fontId="0" fillId="0" borderId="103" xfId="0" applyBorder="1"/>
    <xf numFmtId="16" fontId="0" fillId="5" borderId="104" xfId="0" applyNumberFormat="1" applyFill="1" applyBorder="1"/>
    <xf numFmtId="3" fontId="0" fillId="5" borderId="86" xfId="0" applyNumberFormat="1" applyFill="1" applyBorder="1"/>
    <xf numFmtId="175" fontId="0" fillId="5" borderId="105" xfId="0" applyNumberFormat="1" applyFill="1" applyBorder="1"/>
    <xf numFmtId="16" fontId="0" fillId="5" borderId="74" xfId="0" applyNumberFormat="1" applyFill="1" applyBorder="1"/>
    <xf numFmtId="3" fontId="0" fillId="5" borderId="0" xfId="0" applyNumberFormat="1" applyFill="1"/>
    <xf numFmtId="175" fontId="0" fillId="5" borderId="108" xfId="0" applyNumberFormat="1" applyFill="1" applyBorder="1"/>
    <xf numFmtId="0" fontId="0" fillId="15" borderId="91" xfId="0" applyFill="1" applyBorder="1"/>
    <xf numFmtId="167" fontId="0" fillId="15" borderId="91" xfId="0" applyNumberFormat="1" applyFill="1" applyBorder="1"/>
    <xf numFmtId="9" fontId="0" fillId="15" borderId="100" xfId="1" applyFont="1" applyFill="1" applyBorder="1"/>
    <xf numFmtId="175" fontId="0" fillId="5" borderId="109" xfId="0" applyNumberFormat="1" applyFill="1" applyBorder="1"/>
    <xf numFmtId="16" fontId="0" fillId="5" borderId="110" xfId="0" applyNumberFormat="1" applyFill="1" applyBorder="1"/>
    <xf numFmtId="175" fontId="0" fillId="19" borderId="109" xfId="0" applyNumberFormat="1" applyFill="1" applyBorder="1"/>
    <xf numFmtId="173" fontId="0" fillId="0" borderId="0" xfId="0" applyNumberFormat="1"/>
    <xf numFmtId="0" fontId="0" fillId="17" borderId="91" xfId="0" applyFill="1" applyBorder="1"/>
    <xf numFmtId="0" fontId="0" fillId="17" borderId="94" xfId="0" applyFill="1" applyBorder="1"/>
    <xf numFmtId="175" fontId="0" fillId="5" borderId="107" xfId="0" applyNumberFormat="1" applyFill="1" applyBorder="1"/>
    <xf numFmtId="175" fontId="0" fillId="5" borderId="111" xfId="0" applyNumberFormat="1" applyFill="1" applyBorder="1"/>
    <xf numFmtId="175" fontId="0" fillId="5" borderId="112" xfId="0" applyNumberFormat="1" applyFill="1" applyBorder="1"/>
    <xf numFmtId="0" fontId="5" fillId="3" borderId="0" xfId="0" applyFont="1" applyFill="1"/>
    <xf numFmtId="174" fontId="0" fillId="3" borderId="0" xfId="0" applyNumberFormat="1" applyFill="1" applyAlignment="1">
      <alignment horizontal="center" vertical="center"/>
    </xf>
    <xf numFmtId="0" fontId="0" fillId="3" borderId="103" xfId="0" applyFill="1" applyBorder="1"/>
    <xf numFmtId="0" fontId="4" fillId="6" borderId="81" xfId="0" applyFont="1" applyFill="1" applyBorder="1"/>
    <xf numFmtId="169" fontId="5" fillId="6" borderId="73" xfId="0" applyNumberFormat="1" applyFont="1" applyFill="1" applyBorder="1" applyAlignment="1">
      <alignment horizontal="center" vertical="center"/>
    </xf>
    <xf numFmtId="0" fontId="5" fillId="6" borderId="62" xfId="0" applyFont="1" applyFill="1" applyBorder="1" applyAlignment="1">
      <alignment horizontal="center" vertical="center"/>
    </xf>
    <xf numFmtId="173" fontId="0" fillId="19" borderId="67" xfId="0" applyNumberFormat="1" applyFill="1" applyBorder="1"/>
    <xf numFmtId="16" fontId="0" fillId="19" borderId="113" xfId="0" applyNumberFormat="1" applyFill="1" applyBorder="1"/>
    <xf numFmtId="0" fontId="0" fillId="19" borderId="91" xfId="0" applyFill="1" applyBorder="1"/>
    <xf numFmtId="175" fontId="0" fillId="19" borderId="91" xfId="0" applyNumberFormat="1" applyFill="1" applyBorder="1"/>
    <xf numFmtId="173" fontId="0" fillId="5" borderId="103" xfId="0" applyNumberFormat="1" applyFill="1" applyBorder="1"/>
    <xf numFmtId="173" fontId="0" fillId="19" borderId="103" xfId="0" applyNumberFormat="1" applyFill="1" applyBorder="1"/>
    <xf numFmtId="16" fontId="0" fillId="22" borderId="102" xfId="0" applyNumberFormat="1" applyFill="1" applyBorder="1"/>
    <xf numFmtId="0" fontId="0" fillId="22" borderId="67" xfId="0" applyFill="1" applyBorder="1"/>
    <xf numFmtId="175" fontId="0" fillId="22" borderId="67" xfId="0" applyNumberFormat="1" applyFill="1" applyBorder="1"/>
    <xf numFmtId="0" fontId="2" fillId="0" borderId="99" xfId="0" applyFont="1" applyBorder="1"/>
    <xf numFmtId="0" fontId="2" fillId="0" borderId="100" xfId="0" applyFont="1" applyBorder="1"/>
    <xf numFmtId="175" fontId="0" fillId="22" borderId="103" xfId="0" applyNumberFormat="1" applyFill="1" applyBorder="1"/>
    <xf numFmtId="16" fontId="0" fillId="8" borderId="102" xfId="0" applyNumberFormat="1" applyFill="1" applyBorder="1"/>
    <xf numFmtId="175" fontId="0" fillId="8" borderId="103" xfId="0" applyNumberFormat="1" applyFill="1" applyBorder="1"/>
    <xf numFmtId="0" fontId="0" fillId="8" borderId="103" xfId="0" applyFill="1" applyBorder="1"/>
    <xf numFmtId="0" fontId="0" fillId="6" borderId="67" xfId="0" applyFill="1" applyBorder="1"/>
    <xf numFmtId="173" fontId="0" fillId="6" borderId="67" xfId="0" applyNumberFormat="1" applyFill="1" applyBorder="1"/>
    <xf numFmtId="10" fontId="0" fillId="6" borderId="84" xfId="0" applyNumberFormat="1" applyFill="1" applyBorder="1"/>
    <xf numFmtId="0" fontId="5" fillId="16" borderId="73" xfId="0" applyFont="1" applyFill="1" applyBorder="1"/>
    <xf numFmtId="175" fontId="0" fillId="5" borderId="114" xfId="0" applyNumberFormat="1" applyFill="1" applyBorder="1"/>
    <xf numFmtId="175" fontId="0" fillId="19" borderId="27" xfId="0" applyNumberFormat="1" applyFill="1" applyBorder="1"/>
    <xf numFmtId="0" fontId="0" fillId="6" borderId="91" xfId="0" applyFill="1" applyBorder="1"/>
    <xf numFmtId="173" fontId="0" fillId="6" borderId="91" xfId="0" applyNumberFormat="1" applyFill="1" applyBorder="1"/>
    <xf numFmtId="10" fontId="0" fillId="6" borderId="94" xfId="0" applyNumberFormat="1" applyFill="1" applyBorder="1"/>
    <xf numFmtId="0" fontId="0" fillId="15" borderId="27" xfId="0" applyFill="1" applyBorder="1"/>
    <xf numFmtId="167" fontId="0" fillId="15" borderId="27" xfId="0" applyNumberFormat="1" applyFill="1" applyBorder="1"/>
    <xf numFmtId="16" fontId="0" fillId="5" borderId="113" xfId="0" applyNumberFormat="1" applyFill="1" applyBorder="1"/>
    <xf numFmtId="16" fontId="0" fillId="5" borderId="116" xfId="0" applyNumberFormat="1" applyFill="1" applyBorder="1"/>
    <xf numFmtId="0" fontId="0" fillId="5" borderId="117" xfId="0" applyFill="1" applyBorder="1"/>
    <xf numFmtId="175" fontId="0" fillId="5" borderId="117" xfId="0" applyNumberFormat="1" applyFill="1" applyBorder="1"/>
    <xf numFmtId="175" fontId="0" fillId="5" borderId="118" xfId="0" applyNumberFormat="1" applyFill="1" applyBorder="1"/>
    <xf numFmtId="177" fontId="0" fillId="19" borderId="56" xfId="0" applyNumberFormat="1" applyFill="1" applyBorder="1"/>
    <xf numFmtId="0" fontId="0" fillId="19" borderId="50" xfId="0" applyFill="1" applyBorder="1"/>
    <xf numFmtId="177" fontId="0" fillId="5" borderId="56" xfId="0" applyNumberFormat="1" applyFill="1" applyBorder="1"/>
    <xf numFmtId="173" fontId="0" fillId="5" borderId="50" xfId="0" applyNumberFormat="1" applyFill="1" applyBorder="1"/>
    <xf numFmtId="168" fontId="2" fillId="0" borderId="36" xfId="0" applyNumberFormat="1" applyFont="1" applyBorder="1" applyAlignment="1">
      <alignment horizontal="center"/>
    </xf>
    <xf numFmtId="168" fontId="2" fillId="0" borderId="12" xfId="0" applyNumberFormat="1" applyFont="1" applyBorder="1" applyAlignment="1">
      <alignment horizontal="center"/>
    </xf>
    <xf numFmtId="164" fontId="2" fillId="0" borderId="26" xfId="0" applyNumberFormat="1" applyFont="1" applyBorder="1" applyAlignment="1">
      <alignment horizontal="center"/>
    </xf>
    <xf numFmtId="164" fontId="2" fillId="0" borderId="73" xfId="0" applyNumberFormat="1" applyFont="1" applyBorder="1" applyAlignment="1">
      <alignment horizontal="center"/>
    </xf>
    <xf numFmtId="164" fontId="2" fillId="0" borderId="62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9" fontId="2" fillId="0" borderId="82" xfId="1" applyFont="1" applyBorder="1" applyAlignment="1">
      <alignment horizontal="center" vertical="center"/>
    </xf>
    <xf numFmtId="177" fontId="0" fillId="8" borderId="61" xfId="0" applyNumberFormat="1" applyFill="1" applyBorder="1"/>
    <xf numFmtId="175" fontId="0" fillId="8" borderId="35" xfId="0" applyNumberFormat="1" applyFill="1" applyBorder="1"/>
    <xf numFmtId="0" fontId="0" fillId="8" borderId="51" xfId="0" applyFill="1" applyBorder="1"/>
    <xf numFmtId="175" fontId="0" fillId="5" borderId="2" xfId="0" applyNumberFormat="1" applyFill="1" applyBorder="1"/>
    <xf numFmtId="44" fontId="0" fillId="0" borderId="0" xfId="0" applyNumberFormat="1"/>
    <xf numFmtId="175" fontId="0" fillId="3" borderId="27" xfId="0" applyNumberFormat="1" applyFill="1" applyBorder="1"/>
    <xf numFmtId="0" fontId="0" fillId="9" borderId="121" xfId="0" applyFill="1" applyBorder="1"/>
    <xf numFmtId="167" fontId="0" fillId="9" borderId="121" xfId="0" applyNumberFormat="1" applyFill="1" applyBorder="1"/>
    <xf numFmtId="175" fontId="0" fillId="5" borderId="46" xfId="0" applyNumberFormat="1" applyFill="1" applyBorder="1"/>
    <xf numFmtId="175" fontId="0" fillId="3" borderId="46" xfId="0" applyNumberFormat="1" applyFill="1" applyBorder="1"/>
    <xf numFmtId="9" fontId="0" fillId="9" borderId="125" xfId="1" applyFont="1" applyFill="1" applyBorder="1"/>
    <xf numFmtId="178" fontId="0" fillId="5" borderId="27" xfId="0" applyNumberFormat="1" applyFill="1" applyBorder="1"/>
    <xf numFmtId="168" fontId="2" fillId="0" borderId="1" xfId="0" applyNumberFormat="1" applyFont="1" applyBorder="1" applyAlignment="1">
      <alignment horizontal="left" vertical="top" wrapText="1"/>
    </xf>
    <xf numFmtId="168" fontId="2" fillId="0" borderId="6" xfId="0" applyNumberFormat="1" applyFont="1" applyBorder="1" applyAlignment="1">
      <alignment horizontal="left" vertical="top" wrapText="1"/>
    </xf>
    <xf numFmtId="178" fontId="2" fillId="0" borderId="62" xfId="0" applyNumberFormat="1" applyFont="1" applyBorder="1" applyAlignment="1">
      <alignment horizontal="left" vertical="top" wrapText="1"/>
    </xf>
    <xf numFmtId="0" fontId="2" fillId="23" borderId="122" xfId="0" applyFont="1" applyFill="1" applyBorder="1" applyAlignment="1">
      <alignment horizontal="center" vertical="center"/>
    </xf>
    <xf numFmtId="0" fontId="2" fillId="23" borderId="134" xfId="0" applyFont="1" applyFill="1" applyBorder="1" applyAlignment="1">
      <alignment horizontal="center" vertical="center"/>
    </xf>
    <xf numFmtId="0" fontId="0" fillId="15" borderId="136" xfId="0" applyFill="1" applyBorder="1"/>
    <xf numFmtId="173" fontId="0" fillId="15" borderId="137" xfId="0" applyNumberFormat="1" applyFill="1" applyBorder="1"/>
    <xf numFmtId="0" fontId="0" fillId="15" borderId="137" xfId="0" applyFill="1" applyBorder="1"/>
    <xf numFmtId="10" fontId="0" fillId="15" borderId="138" xfId="0" applyNumberFormat="1" applyFill="1" applyBorder="1"/>
    <xf numFmtId="0" fontId="0" fillId="15" borderId="139" xfId="0" applyFill="1" applyBorder="1"/>
    <xf numFmtId="9" fontId="0" fillId="15" borderId="140" xfId="1" applyFont="1" applyFill="1" applyBorder="1"/>
    <xf numFmtId="0" fontId="0" fillId="15" borderId="141" xfId="0" applyFill="1" applyBorder="1"/>
    <xf numFmtId="167" fontId="0" fillId="15" borderId="142" xfId="0" applyNumberFormat="1" applyFill="1" applyBorder="1"/>
    <xf numFmtId="0" fontId="0" fillId="15" borderId="142" xfId="0" applyFill="1" applyBorder="1"/>
    <xf numFmtId="9" fontId="0" fillId="15" borderId="143" xfId="1" applyFont="1" applyFill="1" applyBorder="1"/>
    <xf numFmtId="0" fontId="0" fillId="9" borderId="144" xfId="0" applyFill="1" applyBorder="1"/>
    <xf numFmtId="167" fontId="0" fillId="9" borderId="144" xfId="0" applyNumberFormat="1" applyFill="1" applyBorder="1"/>
    <xf numFmtId="9" fontId="0" fillId="9" borderId="145" xfId="1" applyFont="1" applyFill="1" applyBorder="1"/>
    <xf numFmtId="0" fontId="0" fillId="19" borderId="146" xfId="0" applyFill="1" applyBorder="1"/>
    <xf numFmtId="167" fontId="0" fillId="19" borderId="147" xfId="0" applyNumberFormat="1" applyFill="1" applyBorder="1"/>
    <xf numFmtId="0" fontId="0" fillId="19" borderId="147" xfId="0" applyFill="1" applyBorder="1"/>
    <xf numFmtId="10" fontId="0" fillId="19" borderId="148" xfId="0" applyNumberFormat="1" applyFill="1" applyBorder="1"/>
    <xf numFmtId="0" fontId="0" fillId="19" borderId="127" xfId="0" applyFill="1" applyBorder="1"/>
    <xf numFmtId="10" fontId="0" fillId="19" borderId="128" xfId="0" applyNumberFormat="1" applyFill="1" applyBorder="1"/>
    <xf numFmtId="0" fontId="0" fillId="19" borderId="128" xfId="0" applyFill="1" applyBorder="1"/>
    <xf numFmtId="0" fontId="0" fillId="19" borderId="149" xfId="0" applyFill="1" applyBorder="1"/>
    <xf numFmtId="0" fontId="0" fillId="19" borderId="150" xfId="0" applyFill="1" applyBorder="1"/>
    <xf numFmtId="0" fontId="0" fillId="19" borderId="151" xfId="0" applyFill="1" applyBorder="1"/>
    <xf numFmtId="0" fontId="0" fillId="6" borderId="101" xfId="0" applyFill="1" applyBorder="1"/>
    <xf numFmtId="173" fontId="0" fillId="6" borderId="101" xfId="0" applyNumberFormat="1" applyFill="1" applyBorder="1"/>
    <xf numFmtId="10" fontId="0" fillId="6" borderId="109" xfId="0" applyNumberFormat="1" applyFill="1" applyBorder="1"/>
    <xf numFmtId="0" fontId="2" fillId="0" borderId="130" xfId="0" applyFont="1" applyBorder="1"/>
    <xf numFmtId="0" fontId="2" fillId="0" borderId="124" xfId="0" applyFont="1" applyBorder="1"/>
    <xf numFmtId="177" fontId="0" fillId="5" borderId="41" xfId="0" applyNumberFormat="1" applyFill="1" applyBorder="1"/>
    <xf numFmtId="177" fontId="0" fillId="3" borderId="41" xfId="0" applyNumberFormat="1" applyFill="1" applyBorder="1"/>
    <xf numFmtId="178" fontId="0" fillId="0" borderId="0" xfId="0" applyNumberFormat="1"/>
    <xf numFmtId="0" fontId="2" fillId="0" borderId="123" xfId="0" applyFont="1" applyBorder="1"/>
    <xf numFmtId="9" fontId="0" fillId="9" borderId="125" xfId="0" applyNumberFormat="1" applyFill="1" applyBorder="1"/>
    <xf numFmtId="178" fontId="0" fillId="9" borderId="121" xfId="0" applyNumberFormat="1" applyFill="1" applyBorder="1"/>
    <xf numFmtId="0" fontId="0" fillId="9" borderId="157" xfId="0" applyFill="1" applyBorder="1"/>
    <xf numFmtId="178" fontId="0" fillId="9" borderId="157" xfId="0" applyNumberFormat="1" applyFill="1" applyBorder="1"/>
    <xf numFmtId="9" fontId="0" fillId="9" borderId="158" xfId="0" applyNumberFormat="1" applyFill="1" applyBorder="1"/>
    <xf numFmtId="0" fontId="0" fillId="19" borderId="121" xfId="0" applyFill="1" applyBorder="1"/>
    <xf numFmtId="178" fontId="0" fillId="19" borderId="121" xfId="0" applyNumberFormat="1" applyFill="1" applyBorder="1"/>
    <xf numFmtId="9" fontId="0" fillId="19" borderId="125" xfId="0" applyNumberFormat="1" applyFill="1" applyBorder="1"/>
    <xf numFmtId="10" fontId="2" fillId="3" borderId="153" xfId="1" applyNumberFormat="1" applyFont="1" applyFill="1" applyBorder="1" applyAlignment="1">
      <alignment horizontal="center"/>
    </xf>
    <xf numFmtId="10" fontId="2" fillId="3" borderId="154" xfId="1" applyNumberFormat="1" applyFont="1" applyFill="1" applyBorder="1" applyAlignment="1">
      <alignment horizontal="center"/>
    </xf>
    <xf numFmtId="10" fontId="2" fillId="0" borderId="159" xfId="0" applyNumberFormat="1" applyFont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152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6" borderId="73" xfId="0" applyFont="1" applyFill="1" applyBorder="1"/>
    <xf numFmtId="0" fontId="2" fillId="6" borderId="73" xfId="0" applyFont="1" applyFill="1" applyBorder="1" applyAlignment="1">
      <alignment horizontal="center" vertical="center"/>
    </xf>
    <xf numFmtId="0" fontId="2" fillId="6" borderId="62" xfId="0" applyFont="1" applyFill="1" applyBorder="1" applyAlignment="1">
      <alignment horizontal="center" vertical="center"/>
    </xf>
    <xf numFmtId="0" fontId="0" fillId="5" borderId="121" xfId="0" applyFill="1" applyBorder="1"/>
    <xf numFmtId="178" fontId="0" fillId="5" borderId="121" xfId="0" applyNumberFormat="1" applyFill="1" applyBorder="1"/>
    <xf numFmtId="178" fontId="0" fillId="5" borderId="33" xfId="0" applyNumberFormat="1" applyFill="1" applyBorder="1"/>
    <xf numFmtId="175" fontId="0" fillId="5" borderId="47" xfId="0" applyNumberFormat="1" applyFill="1" applyBorder="1"/>
    <xf numFmtId="177" fontId="0" fillId="5" borderId="21" xfId="0" applyNumberFormat="1" applyFill="1" applyBorder="1"/>
    <xf numFmtId="0" fontId="0" fillId="0" borderId="121" xfId="0" applyBorder="1"/>
    <xf numFmtId="164" fontId="2" fillId="3" borderId="36" xfId="0" applyNumberFormat="1" applyFont="1" applyFill="1" applyBorder="1"/>
    <xf numFmtId="164" fontId="2" fillId="3" borderId="26" xfId="0" applyNumberFormat="1" applyFont="1" applyFill="1" applyBorder="1"/>
    <xf numFmtId="0" fontId="2" fillId="3" borderId="36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81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26" xfId="0" applyFont="1" applyBorder="1"/>
    <xf numFmtId="164" fontId="2" fillId="0" borderId="36" xfId="0" applyNumberFormat="1" applyFont="1" applyBorder="1"/>
    <xf numFmtId="164" fontId="2" fillId="0" borderId="26" xfId="0" applyNumberFormat="1" applyFont="1" applyBorder="1"/>
    <xf numFmtId="0" fontId="2" fillId="0" borderId="3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2" fillId="0" borderId="77" xfId="0" applyFont="1" applyBorder="1" applyAlignment="1">
      <alignment horizontal="center"/>
    </xf>
    <xf numFmtId="164" fontId="2" fillId="0" borderId="26" xfId="1" applyNumberFormat="1" applyFont="1" applyBorder="1"/>
    <xf numFmtId="0" fontId="2" fillId="0" borderId="74" xfId="0" applyFont="1" applyBorder="1" applyAlignment="1">
      <alignment horizontal="center"/>
    </xf>
    <xf numFmtId="173" fontId="2" fillId="0" borderId="73" xfId="0" applyNumberFormat="1" applyFont="1" applyBorder="1" applyAlignment="1">
      <alignment horizontal="center"/>
    </xf>
    <xf numFmtId="164" fontId="2" fillId="0" borderId="12" xfId="0" applyNumberFormat="1" applyFont="1" applyBorder="1"/>
    <xf numFmtId="164" fontId="2" fillId="0" borderId="11" xfId="0" applyNumberFormat="1" applyFont="1" applyBorder="1"/>
    <xf numFmtId="0" fontId="2" fillId="0" borderId="12" xfId="0" applyFont="1" applyBorder="1" applyAlignment="1">
      <alignment horizontal="center" vertical="center"/>
    </xf>
    <xf numFmtId="164" fontId="2" fillId="0" borderId="76" xfId="0" applyNumberFormat="1" applyFont="1" applyBorder="1"/>
    <xf numFmtId="164" fontId="2" fillId="0" borderId="73" xfId="0" applyNumberFormat="1" applyFont="1" applyBorder="1"/>
    <xf numFmtId="0" fontId="2" fillId="0" borderId="160" xfId="0" applyFont="1" applyBorder="1" applyAlignment="1">
      <alignment horizontal="center" vertical="center"/>
    </xf>
    <xf numFmtId="3" fontId="2" fillId="0" borderId="76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/>
    </xf>
    <xf numFmtId="10" fontId="2" fillId="0" borderId="27" xfId="1" applyNumberFormat="1" applyFont="1" applyBorder="1" applyAlignment="1">
      <alignment horizontal="center"/>
    </xf>
    <xf numFmtId="0" fontId="2" fillId="3" borderId="153" xfId="0" applyFont="1" applyFill="1" applyBorder="1"/>
    <xf numFmtId="0" fontId="2" fillId="0" borderId="153" xfId="0" applyFont="1" applyBorder="1"/>
    <xf numFmtId="0" fontId="2" fillId="0" borderId="154" xfId="0" applyFont="1" applyBorder="1"/>
    <xf numFmtId="0" fontId="2" fillId="4" borderId="162" xfId="0" applyFont="1" applyFill="1" applyBorder="1" applyAlignment="1">
      <alignment horizontal="center" vertical="center"/>
    </xf>
    <xf numFmtId="0" fontId="2" fillId="12" borderId="163" xfId="0" applyFont="1" applyFill="1" applyBorder="1"/>
    <xf numFmtId="0" fontId="2" fillId="5" borderId="163" xfId="0" applyFont="1" applyFill="1" applyBorder="1"/>
    <xf numFmtId="0" fontId="2" fillId="24" borderId="163" xfId="0" applyFont="1" applyFill="1" applyBorder="1"/>
    <xf numFmtId="0" fontId="2" fillId="4" borderId="164" xfId="0" applyFont="1" applyFill="1" applyBorder="1"/>
    <xf numFmtId="0" fontId="2" fillId="12" borderId="133" xfId="0" applyFont="1" applyFill="1" applyBorder="1"/>
    <xf numFmtId="0" fontId="2" fillId="5" borderId="161" xfId="0" applyFont="1" applyFill="1" applyBorder="1"/>
    <xf numFmtId="0" fontId="2" fillId="3" borderId="163" xfId="0" applyFont="1" applyFill="1" applyBorder="1"/>
    <xf numFmtId="0" fontId="2" fillId="0" borderId="163" xfId="0" applyFont="1" applyBorder="1"/>
    <xf numFmtId="0" fontId="2" fillId="0" borderId="164" xfId="0" applyFont="1" applyBorder="1"/>
    <xf numFmtId="0" fontId="2" fillId="0" borderId="165" xfId="0" applyFont="1" applyBorder="1"/>
    <xf numFmtId="3" fontId="2" fillId="0" borderId="166" xfId="0" applyNumberFormat="1" applyFont="1" applyBorder="1"/>
    <xf numFmtId="3" fontId="2" fillId="0" borderId="159" xfId="0" applyNumberFormat="1" applyFont="1" applyBorder="1"/>
    <xf numFmtId="0" fontId="2" fillId="6" borderId="82" xfId="0" applyFont="1" applyFill="1" applyBorder="1" applyAlignment="1">
      <alignment horizontal="center" vertical="center"/>
    </xf>
    <xf numFmtId="0" fontId="2" fillId="3" borderId="162" xfId="0" applyFont="1" applyFill="1" applyBorder="1"/>
    <xf numFmtId="0" fontId="2" fillId="6" borderId="167" xfId="0" applyFont="1" applyFill="1" applyBorder="1" applyAlignment="1">
      <alignment horizontal="center" vertical="center"/>
    </xf>
    <xf numFmtId="167" fontId="2" fillId="3" borderId="168" xfId="0" applyNumberFormat="1" applyFont="1" applyFill="1" applyBorder="1" applyAlignment="1">
      <alignment horizontal="center" vertical="center"/>
    </xf>
    <xf numFmtId="167" fontId="2" fillId="0" borderId="168" xfId="0" applyNumberFormat="1" applyFont="1" applyBorder="1" applyAlignment="1">
      <alignment horizontal="center" vertical="center"/>
    </xf>
    <xf numFmtId="167" fontId="2" fillId="0" borderId="168" xfId="3" applyNumberFormat="1" applyFont="1" applyBorder="1" applyAlignment="1">
      <alignment horizontal="center" vertical="center"/>
    </xf>
    <xf numFmtId="167" fontId="2" fillId="0" borderId="132" xfId="0" applyNumberFormat="1" applyFont="1" applyBorder="1" applyAlignment="1">
      <alignment horizontal="center" vertical="center"/>
    </xf>
    <xf numFmtId="167" fontId="2" fillId="0" borderId="169" xfId="0" applyNumberFormat="1" applyFont="1" applyBorder="1" applyAlignment="1">
      <alignment horizontal="center" vertical="center"/>
    </xf>
    <xf numFmtId="1" fontId="2" fillId="0" borderId="170" xfId="0" applyNumberFormat="1" applyFont="1" applyBorder="1" applyAlignment="1">
      <alignment horizontal="center"/>
    </xf>
    <xf numFmtId="1" fontId="2" fillId="0" borderId="172" xfId="0" applyNumberFormat="1" applyFont="1" applyBorder="1" applyAlignment="1">
      <alignment horizontal="center"/>
    </xf>
    <xf numFmtId="0" fontId="2" fillId="3" borderId="153" xfId="0" applyFont="1" applyFill="1" applyBorder="1" applyAlignment="1">
      <alignment horizontal="center"/>
    </xf>
    <xf numFmtId="0" fontId="2" fillId="0" borderId="159" xfId="0" applyFont="1" applyBorder="1" applyAlignment="1">
      <alignment horizontal="center"/>
    </xf>
    <xf numFmtId="9" fontId="2" fillId="3" borderId="26" xfId="0" applyNumberFormat="1" applyFont="1" applyFill="1" applyBorder="1" applyAlignment="1">
      <alignment horizontal="center" vertical="center"/>
    </xf>
    <xf numFmtId="9" fontId="2" fillId="0" borderId="26" xfId="1" applyFont="1" applyBorder="1" applyAlignment="1">
      <alignment horizontal="center" vertical="center"/>
    </xf>
    <xf numFmtId="9" fontId="2" fillId="0" borderId="73" xfId="0" applyNumberFormat="1" applyFont="1" applyBorder="1" applyAlignment="1">
      <alignment horizontal="center" vertical="center"/>
    </xf>
    <xf numFmtId="165" fontId="2" fillId="0" borderId="153" xfId="0" applyNumberFormat="1" applyFont="1" applyBorder="1" applyAlignment="1">
      <alignment horizontal="center"/>
    </xf>
    <xf numFmtId="165" fontId="2" fillId="0" borderId="154" xfId="0" applyNumberFormat="1" applyFont="1" applyBorder="1" applyAlignment="1">
      <alignment horizontal="center"/>
    </xf>
    <xf numFmtId="0" fontId="2" fillId="6" borderId="162" xfId="0" applyFont="1" applyFill="1" applyBorder="1" applyAlignment="1">
      <alignment horizontal="center" vertical="center"/>
    </xf>
    <xf numFmtId="0" fontId="2" fillId="3" borderId="163" xfId="0" applyFont="1" applyFill="1" applyBorder="1" applyAlignment="1">
      <alignment horizontal="center"/>
    </xf>
    <xf numFmtId="0" fontId="2" fillId="0" borderId="163" xfId="0" applyFont="1" applyBorder="1" applyAlignment="1">
      <alignment horizontal="center"/>
    </xf>
    <xf numFmtId="0" fontId="2" fillId="0" borderId="164" xfId="0" applyFont="1" applyBorder="1" applyAlignment="1">
      <alignment horizontal="center"/>
    </xf>
    <xf numFmtId="0" fontId="2" fillId="0" borderId="165" xfId="0" applyFont="1" applyBorder="1" applyAlignment="1">
      <alignment horizontal="center"/>
    </xf>
    <xf numFmtId="168" fontId="2" fillId="3" borderId="36" xfId="1" applyNumberFormat="1" applyFont="1" applyFill="1" applyBorder="1" applyAlignment="1">
      <alignment horizontal="center"/>
    </xf>
    <xf numFmtId="168" fontId="2" fillId="0" borderId="36" xfId="1" applyNumberFormat="1" applyFont="1" applyBorder="1" applyAlignment="1">
      <alignment horizontal="center"/>
    </xf>
    <xf numFmtId="177" fontId="0" fillId="5" borderId="174" xfId="0" applyNumberFormat="1" applyFill="1" applyBorder="1"/>
    <xf numFmtId="0" fontId="0" fillId="5" borderId="175" xfId="0" applyFill="1" applyBorder="1"/>
    <xf numFmtId="178" fontId="0" fillId="5" borderId="175" xfId="0" applyNumberFormat="1" applyFill="1" applyBorder="1"/>
    <xf numFmtId="175" fontId="0" fillId="5" borderId="171" xfId="0" applyNumberFormat="1" applyFill="1" applyBorder="1"/>
    <xf numFmtId="175" fontId="0" fillId="5" borderId="173" xfId="0" applyNumberFormat="1" applyFill="1" applyBorder="1"/>
    <xf numFmtId="177" fontId="0" fillId="5" borderId="87" xfId="0" applyNumberFormat="1" applyFill="1" applyBorder="1"/>
    <xf numFmtId="0" fontId="0" fillId="5" borderId="176" xfId="0" applyFill="1" applyBorder="1"/>
    <xf numFmtId="1" fontId="2" fillId="0" borderId="1" xfId="0" applyNumberFormat="1" applyFont="1" applyBorder="1" applyAlignment="1">
      <alignment horizontal="center" vertical="center"/>
    </xf>
    <xf numFmtId="9" fontId="2" fillId="0" borderId="179" xfId="0" applyNumberFormat="1" applyFont="1" applyBorder="1"/>
    <xf numFmtId="9" fontId="2" fillId="0" borderId="125" xfId="0" applyNumberFormat="1" applyFont="1" applyBorder="1"/>
    <xf numFmtId="0" fontId="2" fillId="6" borderId="122" xfId="0" applyFont="1" applyFill="1" applyBorder="1"/>
    <xf numFmtId="0" fontId="2" fillId="0" borderId="130" xfId="0" applyFont="1" applyBorder="1" applyAlignment="1">
      <alignment horizontal="center"/>
    </xf>
    <xf numFmtId="0" fontId="2" fillId="0" borderId="133" xfId="0" applyFont="1" applyBorder="1" applyAlignment="1">
      <alignment horizontal="center"/>
    </xf>
    <xf numFmtId="177" fontId="0" fillId="19" borderId="21" xfId="0" applyNumberFormat="1" applyFill="1" applyBorder="1"/>
    <xf numFmtId="0" fontId="0" fillId="19" borderId="173" xfId="0" applyFill="1" applyBorder="1"/>
    <xf numFmtId="178" fontId="2" fillId="0" borderId="126" xfId="0" applyNumberFormat="1" applyFont="1" applyBorder="1"/>
    <xf numFmtId="178" fontId="2" fillId="0" borderId="133" xfId="0" applyNumberFormat="1" applyFont="1" applyBorder="1"/>
    <xf numFmtId="0" fontId="0" fillId="0" borderId="157" xfId="0" applyBorder="1"/>
    <xf numFmtId="177" fontId="0" fillId="5" borderId="176" xfId="0" applyNumberFormat="1" applyFill="1" applyBorder="1"/>
    <xf numFmtId="0" fontId="0" fillId="3" borderId="121" xfId="0" applyFill="1" applyBorder="1"/>
    <xf numFmtId="177" fontId="0" fillId="19" borderId="0" xfId="0" applyNumberFormat="1" applyFill="1"/>
    <xf numFmtId="0" fontId="0" fillId="19" borderId="157" xfId="0" applyFill="1" applyBorder="1"/>
    <xf numFmtId="178" fontId="0" fillId="19" borderId="157" xfId="0" applyNumberFormat="1" applyFill="1" applyBorder="1"/>
    <xf numFmtId="0" fontId="0" fillId="19" borderId="178" xfId="0" applyFill="1" applyBorder="1"/>
    <xf numFmtId="177" fontId="0" fillId="19" borderId="177" xfId="0" applyNumberFormat="1" applyFill="1" applyBorder="1"/>
    <xf numFmtId="0" fontId="0" fillId="19" borderId="177" xfId="0" applyFill="1" applyBorder="1"/>
    <xf numFmtId="0" fontId="0" fillId="19" borderId="175" xfId="0" applyFill="1" applyBorder="1"/>
    <xf numFmtId="178" fontId="0" fillId="19" borderId="175" xfId="0" applyNumberFormat="1" applyFill="1" applyBorder="1"/>
    <xf numFmtId="168" fontId="0" fillId="19" borderId="179" xfId="0" applyNumberFormat="1" applyFill="1" applyBorder="1"/>
    <xf numFmtId="177" fontId="0" fillId="19" borderId="176" xfId="0" applyNumberFormat="1" applyFill="1" applyBorder="1"/>
    <xf numFmtId="0" fontId="0" fillId="19" borderId="176" xfId="0" applyFill="1" applyBorder="1"/>
    <xf numFmtId="0" fontId="0" fillId="19" borderId="125" xfId="0" applyFill="1" applyBorder="1"/>
    <xf numFmtId="178" fontId="0" fillId="5" borderId="125" xfId="0" applyNumberFormat="1" applyFill="1" applyBorder="1"/>
    <xf numFmtId="178" fontId="0" fillId="0" borderId="121" xfId="0" applyNumberFormat="1" applyBorder="1"/>
    <xf numFmtId="0" fontId="0" fillId="19" borderId="158" xfId="0" applyFill="1" applyBorder="1"/>
    <xf numFmtId="9" fontId="0" fillId="19" borderId="158" xfId="0" applyNumberFormat="1" applyFill="1" applyBorder="1"/>
    <xf numFmtId="9" fontId="0" fillId="5" borderId="125" xfId="0" applyNumberFormat="1" applyFill="1" applyBorder="1"/>
    <xf numFmtId="0" fontId="2" fillId="0" borderId="122" xfId="0" applyFont="1" applyBorder="1"/>
    <xf numFmtId="178" fontId="2" fillId="0" borderId="155" xfId="0" applyNumberFormat="1" applyFont="1" applyBorder="1"/>
    <xf numFmtId="0" fontId="2" fillId="5" borderId="130" xfId="0" applyFont="1" applyFill="1" applyBorder="1" applyAlignment="1">
      <alignment horizontal="center" vertical="center"/>
    </xf>
    <xf numFmtId="178" fontId="0" fillId="15" borderId="121" xfId="0" applyNumberFormat="1" applyFill="1" applyBorder="1"/>
    <xf numFmtId="0" fontId="2" fillId="15" borderId="131" xfId="0" applyFont="1" applyFill="1" applyBorder="1"/>
    <xf numFmtId="0" fontId="2" fillId="17" borderId="130" xfId="0" applyFont="1" applyFill="1" applyBorder="1"/>
    <xf numFmtId="0" fontId="0" fillId="0" borderId="130" xfId="0" applyBorder="1"/>
    <xf numFmtId="0" fontId="2" fillId="0" borderId="180" xfId="0" applyFont="1" applyBorder="1"/>
    <xf numFmtId="0" fontId="2" fillId="0" borderId="181" xfId="0" applyFont="1" applyBorder="1"/>
    <xf numFmtId="167" fontId="2" fillId="0" borderId="182" xfId="0" applyNumberFormat="1" applyFont="1" applyBorder="1" applyAlignment="1">
      <alignment horizontal="center" vertical="center"/>
    </xf>
    <xf numFmtId="164" fontId="2" fillId="0" borderId="40" xfId="0" applyNumberFormat="1" applyFont="1" applyBorder="1"/>
    <xf numFmtId="164" fontId="2" fillId="0" borderId="48" xfId="0" applyNumberFormat="1" applyFont="1" applyBorder="1"/>
    <xf numFmtId="10" fontId="2" fillId="3" borderId="181" xfId="1" applyNumberFormat="1" applyFont="1" applyFill="1" applyBorder="1" applyAlignment="1">
      <alignment horizontal="center"/>
    </xf>
    <xf numFmtId="0" fontId="0" fillId="0" borderId="130" xfId="0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0" fontId="0" fillId="0" borderId="133" xfId="0" applyBorder="1" applyAlignment="1">
      <alignment horizontal="center"/>
    </xf>
    <xf numFmtId="9" fontId="2" fillId="0" borderId="48" xfId="0" applyNumberFormat="1" applyFont="1" applyBorder="1" applyAlignment="1">
      <alignment horizontal="center" vertical="center"/>
    </xf>
    <xf numFmtId="0" fontId="2" fillId="0" borderId="126" xfId="0" applyFont="1" applyBorder="1" applyAlignment="1">
      <alignment horizontal="center"/>
    </xf>
    <xf numFmtId="167" fontId="2" fillId="0" borderId="40" xfId="0" applyNumberFormat="1" applyFont="1" applyBorder="1" applyAlignment="1">
      <alignment horizontal="center"/>
    </xf>
    <xf numFmtId="1" fontId="2" fillId="0" borderId="33" xfId="0" applyNumberFormat="1" applyFont="1" applyBorder="1" applyAlignment="1">
      <alignment horizontal="center"/>
    </xf>
    <xf numFmtId="164" fontId="2" fillId="0" borderId="33" xfId="3" applyFont="1" applyBorder="1" applyAlignment="1">
      <alignment horizontal="center"/>
    </xf>
    <xf numFmtId="164" fontId="2" fillId="0" borderId="33" xfId="0" applyNumberFormat="1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10" fontId="2" fillId="0" borderId="33" xfId="1" applyNumberFormat="1" applyFont="1" applyBorder="1" applyAlignment="1">
      <alignment horizontal="center"/>
    </xf>
    <xf numFmtId="1" fontId="2" fillId="0" borderId="183" xfId="0" applyNumberFormat="1" applyFont="1" applyBorder="1" applyAlignment="1">
      <alignment horizontal="center"/>
    </xf>
    <xf numFmtId="9" fontId="2" fillId="0" borderId="158" xfId="0" applyNumberFormat="1" applyFont="1" applyBorder="1"/>
    <xf numFmtId="0" fontId="2" fillId="0" borderId="122" xfId="0" applyFont="1" applyBorder="1" applyAlignment="1">
      <alignment horizontal="center"/>
    </xf>
    <xf numFmtId="0" fontId="2" fillId="0" borderId="133" xfId="0" applyFont="1" applyBorder="1"/>
    <xf numFmtId="9" fontId="2" fillId="0" borderId="133" xfId="0" applyNumberFormat="1" applyFont="1" applyBorder="1" applyAlignment="1">
      <alignment horizontal="center"/>
    </xf>
    <xf numFmtId="9" fontId="2" fillId="0" borderId="130" xfId="0" applyNumberFormat="1" applyFont="1" applyBorder="1" applyAlignment="1">
      <alignment horizontal="center"/>
    </xf>
    <xf numFmtId="0" fontId="0" fillId="5" borderId="157" xfId="0" applyFill="1" applyBorder="1"/>
    <xf numFmtId="178" fontId="0" fillId="5" borderId="157" xfId="0" applyNumberFormat="1" applyFill="1" applyBorder="1"/>
    <xf numFmtId="0" fontId="0" fillId="15" borderId="121" xfId="0" applyFill="1" applyBorder="1"/>
    <xf numFmtId="9" fontId="0" fillId="15" borderId="121" xfId="0" applyNumberFormat="1" applyFill="1" applyBorder="1"/>
    <xf numFmtId="9" fontId="0" fillId="5" borderId="158" xfId="0" applyNumberFormat="1" applyFill="1" applyBorder="1"/>
    <xf numFmtId="0" fontId="0" fillId="0" borderId="184" xfId="0" applyBorder="1"/>
    <xf numFmtId="1" fontId="2" fillId="0" borderId="133" xfId="0" applyNumberFormat="1" applyFont="1" applyBorder="1" applyAlignment="1">
      <alignment horizontal="center"/>
    </xf>
    <xf numFmtId="10" fontId="2" fillId="0" borderId="130" xfId="1" applyNumberFormat="1" applyFont="1" applyBorder="1" applyAlignment="1">
      <alignment horizontal="center"/>
    </xf>
    <xf numFmtId="9" fontId="2" fillId="0" borderId="133" xfId="0" applyNumberFormat="1" applyFont="1" applyBorder="1"/>
    <xf numFmtId="0" fontId="5" fillId="16" borderId="130" xfId="0" applyFont="1" applyFill="1" applyBorder="1"/>
    <xf numFmtId="0" fontId="0" fillId="0" borderId="185" xfId="0" applyBorder="1"/>
    <xf numFmtId="0" fontId="2" fillId="5" borderId="122" xfId="0" applyFont="1" applyFill="1" applyBorder="1"/>
    <xf numFmtId="0" fontId="2" fillId="5" borderId="126" xfId="0" applyFont="1" applyFill="1" applyBorder="1"/>
    <xf numFmtId="0" fontId="2" fillId="5" borderId="133" xfId="0" applyFont="1" applyFill="1" applyBorder="1"/>
    <xf numFmtId="178" fontId="2" fillId="0" borderId="48" xfId="0" applyNumberFormat="1" applyFont="1" applyBorder="1" applyAlignment="1">
      <alignment horizontal="center"/>
    </xf>
    <xf numFmtId="178" fontId="2" fillId="0" borderId="185" xfId="0" applyNumberFormat="1" applyFont="1" applyBorder="1"/>
    <xf numFmtId="178" fontId="2" fillId="0" borderId="123" xfId="0" applyNumberFormat="1" applyFont="1" applyBorder="1" applyAlignment="1">
      <alignment horizontal="center" vertical="center"/>
    </xf>
    <xf numFmtId="178" fontId="2" fillId="0" borderId="133" xfId="0" applyNumberFormat="1" applyFont="1" applyBorder="1" applyAlignment="1">
      <alignment horizontal="center"/>
    </xf>
    <xf numFmtId="178" fontId="2" fillId="0" borderId="184" xfId="0" applyNumberFormat="1" applyFont="1" applyBorder="1" applyAlignment="1">
      <alignment horizontal="center"/>
    </xf>
    <xf numFmtId="0" fontId="0" fillId="3" borderId="125" xfId="0" applyFill="1" applyBorder="1"/>
    <xf numFmtId="178" fontId="0" fillId="5" borderId="186" xfId="0" applyNumberFormat="1" applyFill="1" applyBorder="1"/>
    <xf numFmtId="178" fontId="2" fillId="0" borderId="130" xfId="0" applyNumberFormat="1" applyFont="1" applyBorder="1"/>
    <xf numFmtId="178" fontId="0" fillId="17" borderId="121" xfId="0" applyNumberFormat="1" applyFill="1" applyBorder="1"/>
    <xf numFmtId="178" fontId="0" fillId="17" borderId="0" xfId="0" applyNumberFormat="1" applyFill="1"/>
    <xf numFmtId="9" fontId="0" fillId="17" borderId="0" xfId="0" applyNumberFormat="1" applyFill="1"/>
    <xf numFmtId="173" fontId="2" fillId="0" borderId="81" xfId="0" applyNumberFormat="1" applyFont="1" applyBorder="1" applyAlignment="1">
      <alignment horizontal="center"/>
    </xf>
    <xf numFmtId="173" fontId="2" fillId="0" borderId="90" xfId="0" applyNumberFormat="1" applyFont="1" applyBorder="1" applyAlignment="1">
      <alignment horizontal="center"/>
    </xf>
    <xf numFmtId="10" fontId="2" fillId="0" borderId="7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2" fillId="0" borderId="3" xfId="3" applyFont="1" applyBorder="1" applyAlignment="1">
      <alignment horizontal="center" vertical="center"/>
    </xf>
    <xf numFmtId="164" fontId="2" fillId="0" borderId="4" xfId="3" applyFont="1" applyBorder="1" applyAlignment="1">
      <alignment horizontal="center" vertical="center"/>
    </xf>
    <xf numFmtId="166" fontId="2" fillId="0" borderId="4" xfId="3" applyNumberFormat="1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5" borderId="81" xfId="0" applyFont="1" applyFill="1" applyBorder="1"/>
    <xf numFmtId="0" fontId="2" fillId="5" borderId="75" xfId="0" applyFont="1" applyFill="1" applyBorder="1"/>
    <xf numFmtId="0" fontId="2" fillId="0" borderId="101" xfId="0" applyFont="1" applyBorder="1"/>
    <xf numFmtId="179" fontId="2" fillId="0" borderId="122" xfId="0" applyNumberFormat="1" applyFont="1" applyBorder="1" applyAlignment="1">
      <alignment horizontal="center"/>
    </xf>
    <xf numFmtId="180" fontId="2" fillId="0" borderId="122" xfId="0" applyNumberFormat="1" applyFont="1" applyBorder="1" applyAlignment="1">
      <alignment horizontal="center"/>
    </xf>
    <xf numFmtId="181" fontId="2" fillId="0" borderId="130" xfId="0" applyNumberFormat="1" applyFont="1" applyBorder="1" applyAlignment="1">
      <alignment horizontal="center"/>
    </xf>
    <xf numFmtId="174" fontId="2" fillId="9" borderId="133" xfId="0" applyNumberFormat="1" applyFont="1" applyFill="1" applyBorder="1" applyAlignment="1">
      <alignment horizontal="center" vertical="center"/>
    </xf>
    <xf numFmtId="0" fontId="5" fillId="7" borderId="161" xfId="0" applyFont="1" applyFill="1" applyBorder="1" applyAlignment="1">
      <alignment horizontal="center"/>
    </xf>
    <xf numFmtId="0" fontId="2" fillId="7" borderId="122" xfId="0" applyFont="1" applyFill="1" applyBorder="1" applyAlignment="1">
      <alignment horizontal="center" vertical="center"/>
    </xf>
    <xf numFmtId="174" fontId="2" fillId="0" borderId="122" xfId="0" applyNumberFormat="1" applyFont="1" applyBorder="1" applyAlignment="1">
      <alignment horizontal="center" vertical="center"/>
    </xf>
    <xf numFmtId="0" fontId="0" fillId="17" borderId="121" xfId="0" applyFill="1" applyBorder="1"/>
    <xf numFmtId="0" fontId="0" fillId="15" borderId="157" xfId="0" applyFill="1" applyBorder="1"/>
    <xf numFmtId="9" fontId="0" fillId="17" borderId="125" xfId="0" applyNumberFormat="1" applyFill="1" applyBorder="1"/>
    <xf numFmtId="178" fontId="0" fillId="15" borderId="157" xfId="0" applyNumberFormat="1" applyFill="1" applyBorder="1"/>
    <xf numFmtId="9" fontId="0" fillId="15" borderId="157" xfId="0" applyNumberFormat="1" applyFill="1" applyBorder="1"/>
    <xf numFmtId="16" fontId="0" fillId="5" borderId="176" xfId="0" applyNumberFormat="1" applyFill="1" applyBorder="1"/>
    <xf numFmtId="16" fontId="0" fillId="19" borderId="176" xfId="0" applyNumberFormat="1" applyFill="1" applyBorder="1"/>
    <xf numFmtId="16" fontId="0" fillId="0" borderId="176" xfId="0" applyNumberFormat="1" applyBorder="1"/>
    <xf numFmtId="16" fontId="0" fillId="5" borderId="188" xfId="0" applyNumberFormat="1" applyFill="1" applyBorder="1"/>
    <xf numFmtId="16" fontId="0" fillId="0" borderId="189" xfId="0" applyNumberFormat="1" applyBorder="1"/>
    <xf numFmtId="0" fontId="0" fillId="0" borderId="190" xfId="0" applyBorder="1"/>
    <xf numFmtId="178" fontId="0" fillId="0" borderId="190" xfId="0" applyNumberFormat="1" applyBorder="1"/>
    <xf numFmtId="0" fontId="0" fillId="3" borderId="190" xfId="0" applyFill="1" applyBorder="1"/>
    <xf numFmtId="0" fontId="0" fillId="0" borderId="191" xfId="0" applyBorder="1"/>
    <xf numFmtId="16" fontId="0" fillId="0" borderId="129" xfId="0" applyNumberFormat="1" applyBorder="1"/>
    <xf numFmtId="0" fontId="0" fillId="0" borderId="192" xfId="0" applyBorder="1"/>
    <xf numFmtId="178" fontId="0" fillId="0" borderId="192" xfId="0" applyNumberFormat="1" applyBorder="1"/>
    <xf numFmtId="0" fontId="0" fillId="3" borderId="192" xfId="0" applyFill="1" applyBorder="1"/>
    <xf numFmtId="0" fontId="0" fillId="0" borderId="193" xfId="0" applyBorder="1"/>
    <xf numFmtId="16" fontId="0" fillId="5" borderId="135" xfId="0" applyNumberFormat="1" applyFill="1" applyBorder="1"/>
    <xf numFmtId="178" fontId="0" fillId="5" borderId="173" xfId="0" applyNumberFormat="1" applyFill="1" applyBorder="1"/>
    <xf numFmtId="0" fontId="0" fillId="5" borderId="173" xfId="0" applyFill="1" applyBorder="1"/>
    <xf numFmtId="0" fontId="0" fillId="0" borderId="134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87" xfId="0" applyBorder="1" applyAlignment="1">
      <alignment horizontal="center" vertical="center"/>
    </xf>
    <xf numFmtId="9" fontId="0" fillId="0" borderId="122" xfId="0" applyNumberFormat="1" applyBorder="1" applyAlignment="1">
      <alignment horizontal="center" vertical="center"/>
    </xf>
    <xf numFmtId="9" fontId="0" fillId="0" borderId="123" xfId="0" applyNumberFormat="1" applyBorder="1" applyAlignment="1">
      <alignment horizontal="center" vertical="center"/>
    </xf>
    <xf numFmtId="9" fontId="0" fillId="0" borderId="124" xfId="0" applyNumberFormat="1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0" fillId="0" borderId="123" xfId="0" applyBorder="1" applyAlignment="1">
      <alignment horizontal="center" vertical="center"/>
    </xf>
    <xf numFmtId="0" fontId="0" fillId="0" borderId="124" xfId="0" applyBorder="1" applyAlignment="1">
      <alignment horizontal="center" vertical="center"/>
    </xf>
    <xf numFmtId="0" fontId="2" fillId="0" borderId="122" xfId="0" applyFont="1" applyBorder="1" applyAlignment="1">
      <alignment horizontal="center" vertical="center"/>
    </xf>
    <xf numFmtId="0" fontId="2" fillId="0" borderId="123" xfId="0" applyFont="1" applyBorder="1" applyAlignment="1">
      <alignment horizontal="center" vertical="center"/>
    </xf>
    <xf numFmtId="0" fontId="2" fillId="0" borderId="126" xfId="0" applyFont="1" applyBorder="1" applyAlignment="1">
      <alignment horizontal="center" vertical="center"/>
    </xf>
    <xf numFmtId="0" fontId="2" fillId="0" borderId="131" xfId="0" applyFont="1" applyBorder="1" applyAlignment="1">
      <alignment horizontal="center" vertical="center"/>
    </xf>
    <xf numFmtId="0" fontId="2" fillId="0" borderId="161" xfId="0" applyFont="1" applyBorder="1" applyAlignment="1">
      <alignment horizontal="center" vertical="center"/>
    </xf>
    <xf numFmtId="0" fontId="0" fillId="0" borderId="122" xfId="0" applyBorder="1" applyAlignment="1">
      <alignment horizontal="center" vertical="center" wrapText="1"/>
    </xf>
    <xf numFmtId="0" fontId="0" fillId="0" borderId="123" xfId="0" applyBorder="1" applyAlignment="1">
      <alignment horizontal="center" vertical="center" wrapText="1"/>
    </xf>
    <xf numFmtId="10" fontId="0" fillId="0" borderId="122" xfId="0" applyNumberFormat="1" applyBorder="1" applyAlignment="1">
      <alignment horizontal="center" vertical="center" wrapText="1"/>
    </xf>
    <xf numFmtId="10" fontId="0" fillId="0" borderId="123" xfId="0" applyNumberForma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  <xf numFmtId="9" fontId="0" fillId="0" borderId="7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10" fontId="0" fillId="0" borderId="62" xfId="0" applyNumberFormat="1" applyBorder="1" applyAlignment="1">
      <alignment horizontal="center" vertical="center"/>
    </xf>
    <xf numFmtId="10" fontId="0" fillId="0" borderId="63" xfId="0" applyNumberFormat="1" applyBorder="1" applyAlignment="1">
      <alignment horizontal="center" vertical="center"/>
    </xf>
    <xf numFmtId="3" fontId="0" fillId="0" borderId="65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76" xfId="0" applyNumberFormat="1" applyBorder="1" applyAlignment="1">
      <alignment horizontal="center" vertical="center"/>
    </xf>
    <xf numFmtId="10" fontId="0" fillId="0" borderId="73" xfId="0" applyNumberFormat="1" applyBorder="1" applyAlignment="1">
      <alignment horizontal="center" vertical="center"/>
    </xf>
    <xf numFmtId="10" fontId="0" fillId="0" borderId="74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13" borderId="26" xfId="0" applyFont="1" applyFill="1" applyBorder="1" applyAlignment="1">
      <alignment horizontal="center"/>
    </xf>
    <xf numFmtId="0" fontId="2" fillId="13" borderId="45" xfId="0" applyFont="1" applyFill="1" applyBorder="1" applyAlignment="1">
      <alignment horizontal="center"/>
    </xf>
    <xf numFmtId="0" fontId="2" fillId="13" borderId="36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9" fontId="0" fillId="3" borderId="6" xfId="1" applyFont="1" applyFill="1" applyBorder="1" applyAlignment="1">
      <alignment horizontal="center" vertical="center"/>
    </xf>
    <xf numFmtId="9" fontId="0" fillId="3" borderId="7" xfId="1" applyFont="1" applyFill="1" applyBorder="1" applyAlignment="1">
      <alignment horizontal="center" vertical="center"/>
    </xf>
    <xf numFmtId="9" fontId="0" fillId="3" borderId="8" xfId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25" borderId="6" xfId="0" applyFont="1" applyFill="1" applyBorder="1" applyAlignment="1">
      <alignment horizontal="center" vertical="center"/>
    </xf>
    <xf numFmtId="0" fontId="6" fillId="25" borderId="7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3" borderId="14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25" borderId="8" xfId="0" applyFont="1" applyFill="1" applyBorder="1" applyAlignment="1">
      <alignment horizontal="center" vertical="center"/>
    </xf>
    <xf numFmtId="0" fontId="2" fillId="21" borderId="6" xfId="0" applyFont="1" applyFill="1" applyBorder="1" applyAlignment="1">
      <alignment horizontal="center" vertical="center"/>
    </xf>
    <xf numFmtId="0" fontId="2" fillId="21" borderId="7" xfId="0" applyFont="1" applyFill="1" applyBorder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2" fillId="0" borderId="62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/>
    </xf>
    <xf numFmtId="174" fontId="0" fillId="0" borderId="76" xfId="0" applyNumberFormat="1" applyBorder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4" fontId="0" fillId="3" borderId="73" xfId="0" applyNumberFormat="1" applyFill="1" applyBorder="1" applyAlignment="1">
      <alignment horizontal="center" vertical="center"/>
    </xf>
    <xf numFmtId="174" fontId="0" fillId="3" borderId="74" xfId="0" applyNumberFormat="1" applyFill="1" applyBorder="1" applyAlignment="1">
      <alignment horizontal="center" vertical="center"/>
    </xf>
    <xf numFmtId="174" fontId="0" fillId="0" borderId="73" xfId="0" applyNumberFormat="1" applyBorder="1" applyAlignment="1">
      <alignment horizontal="center" vertical="center"/>
    </xf>
    <xf numFmtId="174" fontId="0" fillId="0" borderId="74" xfId="0" applyNumberForma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115" xfId="0" applyFont="1" applyBorder="1" applyAlignment="1">
      <alignment horizontal="center" vertical="center"/>
    </xf>
    <xf numFmtId="9" fontId="0" fillId="0" borderId="65" xfId="0" applyNumberFormat="1" applyBorder="1" applyAlignment="1">
      <alignment horizontal="center" vertical="center"/>
    </xf>
    <xf numFmtId="9" fontId="0" fillId="0" borderId="66" xfId="0" applyNumberForma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3" fontId="0" fillId="0" borderId="73" xfId="0" applyNumberFormat="1" applyBorder="1" applyAlignment="1">
      <alignment horizontal="center" vertical="center"/>
    </xf>
    <xf numFmtId="3" fontId="0" fillId="0" borderId="7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62" xfId="0" applyNumberFormat="1" applyBorder="1" applyAlignment="1">
      <alignment vertical="center"/>
    </xf>
    <xf numFmtId="3" fontId="0" fillId="0" borderId="63" xfId="0" applyNumberFormat="1" applyBorder="1" applyAlignment="1">
      <alignment vertical="center"/>
    </xf>
    <xf numFmtId="174" fontId="0" fillId="0" borderId="65" xfId="0" applyNumberFormat="1" applyBorder="1" applyAlignment="1">
      <alignment vertical="center"/>
    </xf>
    <xf numFmtId="174" fontId="0" fillId="0" borderId="66" xfId="0" applyNumberFormat="1" applyBorder="1" applyAlignment="1">
      <alignment vertical="center"/>
    </xf>
    <xf numFmtId="0" fontId="0" fillId="17" borderId="122" xfId="0" applyFill="1" applyBorder="1" applyAlignment="1">
      <alignment horizontal="center" vertical="center"/>
    </xf>
    <xf numFmtId="0" fontId="0" fillId="17" borderId="123" xfId="0" applyFill="1" applyBorder="1" applyAlignment="1">
      <alignment horizontal="center" vertical="center"/>
    </xf>
    <xf numFmtId="0" fontId="0" fillId="17" borderId="124" xfId="0" applyFill="1" applyBorder="1" applyAlignment="1">
      <alignment horizontal="center" vertical="center"/>
    </xf>
    <xf numFmtId="0" fontId="0" fillId="17" borderId="134" xfId="0" applyFill="1" applyBorder="1" applyAlignment="1">
      <alignment horizontal="center" vertical="center"/>
    </xf>
    <xf numFmtId="0" fontId="0" fillId="17" borderId="132" xfId="0" applyFill="1" applyBorder="1" applyAlignment="1">
      <alignment horizontal="center" vertical="center"/>
    </xf>
    <xf numFmtId="0" fontId="0" fillId="17" borderId="187" xfId="0" applyFill="1" applyBorder="1" applyAlignment="1">
      <alignment horizontal="center" vertical="center"/>
    </xf>
    <xf numFmtId="9" fontId="0" fillId="17" borderId="122" xfId="0" applyNumberFormat="1" applyFill="1" applyBorder="1" applyAlignment="1">
      <alignment horizontal="center" vertical="center"/>
    </xf>
    <xf numFmtId="9" fontId="0" fillId="17" borderId="123" xfId="0" applyNumberFormat="1" applyFill="1" applyBorder="1" applyAlignment="1">
      <alignment horizontal="center" vertical="center"/>
    </xf>
    <xf numFmtId="9" fontId="0" fillId="17" borderId="124" xfId="0" applyNumberFormat="1" applyFill="1" applyBorder="1" applyAlignment="1">
      <alignment horizontal="center" vertical="center"/>
    </xf>
    <xf numFmtId="178" fontId="0" fillId="17" borderId="122" xfId="0" applyNumberFormat="1" applyFill="1" applyBorder="1" applyAlignment="1">
      <alignment horizontal="center" vertical="center"/>
    </xf>
    <xf numFmtId="0" fontId="8" fillId="0" borderId="122" xfId="0" applyFont="1" applyBorder="1" applyAlignment="1">
      <alignment horizontal="center" vertical="center"/>
    </xf>
    <xf numFmtId="0" fontId="8" fillId="0" borderId="123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0" fontId="8" fillId="0" borderId="187" xfId="0" applyFont="1" applyBorder="1" applyAlignment="1">
      <alignment horizontal="center" vertical="center"/>
    </xf>
    <xf numFmtId="178" fontId="0" fillId="5" borderId="126" xfId="0" applyNumberFormat="1" applyFill="1" applyBorder="1" applyAlignment="1">
      <alignment horizontal="center" vertical="center"/>
    </xf>
    <xf numFmtId="178" fontId="0" fillId="5" borderId="131" xfId="0" applyNumberFormat="1" applyFill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173" fontId="0" fillId="6" borderId="73" xfId="0" applyNumberFormat="1" applyFill="1" applyBorder="1" applyAlignment="1">
      <alignment horizontal="center" vertical="center"/>
    </xf>
    <xf numFmtId="173" fontId="0" fillId="6" borderId="74" xfId="0" applyNumberFormat="1" applyFill="1" applyBorder="1" applyAlignment="1">
      <alignment horizontal="center" vertical="center"/>
    </xf>
    <xf numFmtId="10" fontId="0" fillId="6" borderId="73" xfId="0" applyNumberFormat="1" applyFill="1" applyBorder="1" applyAlignment="1">
      <alignment horizontal="center" vertical="center"/>
    </xf>
    <xf numFmtId="10" fontId="0" fillId="6" borderId="74" xfId="0" applyNumberFormat="1" applyFill="1" applyBorder="1" applyAlignment="1">
      <alignment horizontal="center" vertical="center"/>
    </xf>
    <xf numFmtId="0" fontId="0" fillId="6" borderId="73" xfId="0" applyFill="1" applyBorder="1" applyAlignment="1">
      <alignment horizontal="center" vertical="center"/>
    </xf>
    <xf numFmtId="0" fontId="0" fillId="6" borderId="74" xfId="0" applyFill="1" applyBorder="1" applyAlignment="1">
      <alignment horizontal="center" vertical="center"/>
    </xf>
    <xf numFmtId="173" fontId="0" fillId="6" borderId="62" xfId="0" applyNumberFormat="1" applyFill="1" applyBorder="1" applyAlignment="1">
      <alignment horizontal="center" vertical="center"/>
    </xf>
    <xf numFmtId="173" fontId="0" fillId="6" borderId="63" xfId="0" applyNumberFormat="1" applyFill="1" applyBorder="1" applyAlignment="1">
      <alignment horizontal="center" vertical="center"/>
    </xf>
    <xf numFmtId="10" fontId="0" fillId="17" borderId="62" xfId="0" applyNumberFormat="1" applyFill="1" applyBorder="1" applyAlignment="1">
      <alignment horizontal="center" vertical="center"/>
    </xf>
    <xf numFmtId="10" fontId="0" fillId="17" borderId="63" xfId="0" applyNumberFormat="1" applyFill="1" applyBorder="1" applyAlignment="1">
      <alignment horizontal="center" vertical="center"/>
    </xf>
    <xf numFmtId="173" fontId="0" fillId="15" borderId="62" xfId="0" applyNumberFormat="1" applyFill="1" applyBorder="1" applyAlignment="1">
      <alignment horizontal="center" vertical="center"/>
    </xf>
    <xf numFmtId="173" fontId="0" fillId="15" borderId="63" xfId="0" applyNumberFormat="1" applyFill="1" applyBorder="1" applyAlignment="1">
      <alignment horizontal="center" vertical="center"/>
    </xf>
    <xf numFmtId="173" fontId="0" fillId="15" borderId="73" xfId="0" applyNumberFormat="1" applyFill="1" applyBorder="1" applyAlignment="1">
      <alignment horizontal="center" vertical="center"/>
    </xf>
    <xf numFmtId="173" fontId="0" fillId="15" borderId="74" xfId="0" applyNumberFormat="1" applyFill="1" applyBorder="1" applyAlignment="1">
      <alignment horizontal="center" vertical="center"/>
    </xf>
    <xf numFmtId="10" fontId="0" fillId="15" borderId="73" xfId="0" applyNumberFormat="1" applyFill="1" applyBorder="1" applyAlignment="1">
      <alignment horizontal="center" vertical="center"/>
    </xf>
    <xf numFmtId="10" fontId="0" fillId="15" borderId="74" xfId="0" applyNumberFormat="1" applyFill="1" applyBorder="1" applyAlignment="1">
      <alignment horizontal="center" vertical="center"/>
    </xf>
    <xf numFmtId="167" fontId="0" fillId="15" borderId="73" xfId="0" applyNumberFormat="1" applyFill="1" applyBorder="1" applyAlignment="1">
      <alignment horizontal="center" vertical="center"/>
    </xf>
    <xf numFmtId="0" fontId="0" fillId="15" borderId="74" xfId="0" applyFill="1" applyBorder="1" applyAlignment="1">
      <alignment horizontal="center" vertical="center"/>
    </xf>
    <xf numFmtId="173" fontId="0" fillId="19" borderId="73" xfId="0" applyNumberFormat="1" applyFill="1" applyBorder="1" applyAlignment="1">
      <alignment horizontal="center" vertical="center"/>
    </xf>
    <xf numFmtId="173" fontId="0" fillId="19" borderId="74" xfId="0" applyNumberFormat="1" applyFill="1" applyBorder="1" applyAlignment="1">
      <alignment horizontal="center" vertical="center"/>
    </xf>
    <xf numFmtId="178" fontId="0" fillId="19" borderId="122" xfId="0" applyNumberFormat="1" applyFill="1" applyBorder="1" applyAlignment="1">
      <alignment horizontal="center" vertical="center"/>
    </xf>
    <xf numFmtId="178" fontId="0" fillId="19" borderId="123" xfId="0" applyNumberFormat="1" applyFill="1" applyBorder="1" applyAlignment="1">
      <alignment horizontal="center" vertical="center"/>
    </xf>
    <xf numFmtId="9" fontId="0" fillId="19" borderId="123" xfId="0" applyNumberFormat="1" applyFill="1" applyBorder="1" applyAlignment="1">
      <alignment horizontal="center" vertical="center"/>
    </xf>
    <xf numFmtId="0" fontId="0" fillId="19" borderId="123" xfId="0" applyFill="1" applyBorder="1" applyAlignment="1">
      <alignment horizontal="center" vertical="center"/>
    </xf>
    <xf numFmtId="168" fontId="0" fillId="5" borderId="6" xfId="0" applyNumberFormat="1" applyFill="1" applyBorder="1" applyAlignment="1">
      <alignment horizontal="center" vertical="center"/>
    </xf>
    <xf numFmtId="168" fontId="0" fillId="5" borderId="7" xfId="0" applyNumberFormat="1" applyFill="1" applyBorder="1" applyAlignment="1">
      <alignment horizontal="center" vertical="center"/>
    </xf>
    <xf numFmtId="9" fontId="0" fillId="5" borderId="6" xfId="1" applyFont="1" applyFill="1" applyBorder="1" applyAlignment="1">
      <alignment horizontal="center" vertical="center"/>
    </xf>
    <xf numFmtId="9" fontId="0" fillId="5" borderId="7" xfId="1" applyFont="1" applyFill="1" applyBorder="1" applyAlignment="1">
      <alignment horizontal="center" vertical="center"/>
    </xf>
    <xf numFmtId="173" fontId="0" fillId="26" borderId="73" xfId="0" applyNumberFormat="1" applyFill="1" applyBorder="1" applyAlignment="1">
      <alignment horizontal="center" vertical="center"/>
    </xf>
    <xf numFmtId="173" fontId="0" fillId="26" borderId="74" xfId="0" applyNumberFormat="1" applyFill="1" applyBorder="1" applyAlignment="1">
      <alignment horizontal="center" vertical="center"/>
    </xf>
    <xf numFmtId="178" fontId="0" fillId="5" borderId="122" xfId="0" applyNumberFormat="1" applyFill="1" applyBorder="1" applyAlignment="1">
      <alignment horizontal="center" vertical="center"/>
    </xf>
    <xf numFmtId="178" fontId="0" fillId="5" borderId="123" xfId="0" applyNumberFormat="1" applyFill="1" applyBorder="1" applyAlignment="1">
      <alignment horizontal="center" vertical="center"/>
    </xf>
    <xf numFmtId="178" fontId="0" fillId="5" borderId="155" xfId="0" applyNumberFormat="1" applyFill="1" applyBorder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178" fontId="0" fillId="5" borderId="156" xfId="0" applyNumberFormat="1" applyFill="1" applyBorder="1" applyAlignment="1">
      <alignment horizontal="center" vertical="center"/>
    </xf>
    <xf numFmtId="178" fontId="0" fillId="5" borderId="161" xfId="0" applyNumberFormat="1" applyFill="1" applyBorder="1" applyAlignment="1">
      <alignment horizontal="center" vertical="center"/>
    </xf>
    <xf numFmtId="9" fontId="0" fillId="5" borderId="126" xfId="0" applyNumberFormat="1" applyFill="1" applyBorder="1" applyAlignment="1">
      <alignment horizontal="center" vertical="center"/>
    </xf>
    <xf numFmtId="9" fontId="0" fillId="5" borderId="131" xfId="0" applyNumberFormat="1" applyFill="1" applyBorder="1" applyAlignment="1">
      <alignment horizontal="center" vertical="center"/>
    </xf>
    <xf numFmtId="9" fontId="0" fillId="5" borderId="161" xfId="0" applyNumberFormat="1" applyFill="1" applyBorder="1" applyAlignment="1">
      <alignment horizontal="center" vertical="center"/>
    </xf>
    <xf numFmtId="1" fontId="0" fillId="5" borderId="122" xfId="0" applyNumberFormat="1" applyFill="1" applyBorder="1" applyAlignment="1">
      <alignment horizontal="center" vertical="center"/>
    </xf>
    <xf numFmtId="1" fontId="0" fillId="5" borderId="123" xfId="0" applyNumberFormat="1" applyFill="1" applyBorder="1" applyAlignment="1">
      <alignment horizontal="center" vertical="center"/>
    </xf>
    <xf numFmtId="1" fontId="0" fillId="5" borderId="124" xfId="0" applyNumberFormat="1" applyFill="1" applyBorder="1" applyAlignment="1">
      <alignment horizontal="center" vertical="center"/>
    </xf>
    <xf numFmtId="173" fontId="0" fillId="17" borderId="73" xfId="0" applyNumberFormat="1" applyFill="1" applyBorder="1" applyAlignment="1">
      <alignment horizontal="center" vertical="center"/>
    </xf>
    <xf numFmtId="173" fontId="0" fillId="17" borderId="74" xfId="0" applyNumberFormat="1" applyFill="1" applyBorder="1" applyAlignment="1">
      <alignment horizontal="center" vertical="center"/>
    </xf>
    <xf numFmtId="2" fontId="0" fillId="15" borderId="73" xfId="0" applyNumberFormat="1" applyFill="1" applyBorder="1" applyAlignment="1">
      <alignment horizontal="center" vertical="center"/>
    </xf>
    <xf numFmtId="2" fontId="0" fillId="15" borderId="74" xfId="0" applyNumberFormat="1" applyFill="1" applyBorder="1" applyAlignment="1">
      <alignment horizontal="center" vertical="center"/>
    </xf>
    <xf numFmtId="173" fontId="0" fillId="19" borderId="76" xfId="0" applyNumberFormat="1" applyFill="1" applyBorder="1" applyAlignment="1">
      <alignment horizontal="center" vertical="center"/>
    </xf>
    <xf numFmtId="173" fontId="0" fillId="19" borderId="0" xfId="0" applyNumberFormat="1" applyFill="1" applyAlignment="1">
      <alignment horizontal="center" vertical="center"/>
    </xf>
    <xf numFmtId="10" fontId="0" fillId="19" borderId="73" xfId="0" applyNumberFormat="1" applyFill="1" applyBorder="1" applyAlignment="1">
      <alignment horizontal="center" vertical="center"/>
    </xf>
    <xf numFmtId="10" fontId="0" fillId="19" borderId="74" xfId="0" applyNumberFormat="1" applyFill="1" applyBorder="1" applyAlignment="1">
      <alignment horizontal="center" vertical="center"/>
    </xf>
    <xf numFmtId="0" fontId="0" fillId="19" borderId="73" xfId="0" applyFill="1" applyBorder="1" applyAlignment="1">
      <alignment horizontal="center" vertical="center"/>
    </xf>
    <xf numFmtId="0" fontId="0" fillId="19" borderId="74" xfId="0" applyFill="1" applyBorder="1" applyAlignment="1">
      <alignment horizontal="center" vertical="center"/>
    </xf>
    <xf numFmtId="173" fontId="0" fillId="5" borderId="65" xfId="0" applyNumberFormat="1" applyFill="1" applyBorder="1" applyAlignment="1">
      <alignment horizontal="center" vertical="center"/>
    </xf>
    <xf numFmtId="173" fontId="0" fillId="5" borderId="66" xfId="0" applyNumberFormat="1" applyFill="1" applyBorder="1" applyAlignment="1">
      <alignment horizontal="center" vertical="center"/>
    </xf>
    <xf numFmtId="173" fontId="0" fillId="8" borderId="73" xfId="0" applyNumberFormat="1" applyFill="1" applyBorder="1" applyAlignment="1">
      <alignment horizontal="center" vertical="center"/>
    </xf>
    <xf numFmtId="173" fontId="0" fillId="8" borderId="74" xfId="0" applyNumberFormat="1" applyFill="1" applyBorder="1" applyAlignment="1">
      <alignment horizontal="center" vertical="center"/>
    </xf>
    <xf numFmtId="10" fontId="0" fillId="8" borderId="62" xfId="0" applyNumberFormat="1" applyFill="1" applyBorder="1" applyAlignment="1">
      <alignment horizontal="center" vertical="center"/>
    </xf>
    <xf numFmtId="10" fontId="0" fillId="8" borderId="63" xfId="0" applyNumberFormat="1" applyFill="1" applyBorder="1" applyAlignment="1">
      <alignment horizontal="center" vertical="center"/>
    </xf>
    <xf numFmtId="167" fontId="0" fillId="8" borderId="65" xfId="0" applyNumberFormat="1" applyFill="1" applyBorder="1" applyAlignment="1">
      <alignment horizontal="center" vertical="center"/>
    </xf>
    <xf numFmtId="167" fontId="0" fillId="8" borderId="66" xfId="0" applyNumberFormat="1" applyFill="1" applyBorder="1" applyAlignment="1">
      <alignment horizontal="center" vertical="center"/>
    </xf>
    <xf numFmtId="173" fontId="0" fillId="8" borderId="65" xfId="0" applyNumberFormat="1" applyFill="1" applyBorder="1" applyAlignment="1">
      <alignment horizontal="center" vertical="center"/>
    </xf>
    <xf numFmtId="173" fontId="0" fillId="8" borderId="66" xfId="0" applyNumberFormat="1" applyFill="1" applyBorder="1" applyAlignment="1">
      <alignment horizontal="center" vertical="center"/>
    </xf>
    <xf numFmtId="0" fontId="0" fillId="8" borderId="65" xfId="0" applyFill="1" applyBorder="1" applyAlignment="1">
      <alignment horizontal="center" vertical="center"/>
    </xf>
    <xf numFmtId="0" fontId="0" fillId="8" borderId="66" xfId="0" applyFill="1" applyBorder="1" applyAlignment="1">
      <alignment horizontal="center" vertical="center"/>
    </xf>
    <xf numFmtId="173" fontId="0" fillId="5" borderId="62" xfId="0" applyNumberFormat="1" applyFill="1" applyBorder="1" applyAlignment="1">
      <alignment horizontal="center" vertical="center"/>
    </xf>
    <xf numFmtId="173" fontId="0" fillId="5" borderId="63" xfId="0" applyNumberFormat="1" applyFill="1" applyBorder="1" applyAlignment="1">
      <alignment horizontal="center" vertical="center"/>
    </xf>
    <xf numFmtId="173" fontId="0" fillId="5" borderId="64" xfId="0" applyNumberFormat="1" applyFill="1" applyBorder="1" applyAlignment="1">
      <alignment horizontal="center" vertical="center"/>
    </xf>
    <xf numFmtId="173" fontId="0" fillId="8" borderId="76" xfId="0" applyNumberFormat="1" applyFill="1" applyBorder="1" applyAlignment="1">
      <alignment horizontal="center" vertical="center"/>
    </xf>
    <xf numFmtId="173" fontId="0" fillId="8" borderId="0" xfId="0" applyNumberFormat="1" applyFill="1" applyAlignment="1">
      <alignment horizontal="center" vertical="center"/>
    </xf>
    <xf numFmtId="10" fontId="0" fillId="9" borderId="73" xfId="0" applyNumberFormat="1" applyFill="1" applyBorder="1" applyAlignment="1">
      <alignment horizontal="center" vertical="center"/>
    </xf>
    <xf numFmtId="10" fontId="0" fillId="9" borderId="74" xfId="0" applyNumberFormat="1" applyFill="1" applyBorder="1" applyAlignment="1">
      <alignment horizontal="center" vertical="center"/>
    </xf>
    <xf numFmtId="10" fontId="0" fillId="5" borderId="73" xfId="0" applyNumberFormat="1" applyFill="1" applyBorder="1" applyAlignment="1">
      <alignment horizontal="center" vertical="center"/>
    </xf>
    <xf numFmtId="10" fontId="0" fillId="5" borderId="74" xfId="0" applyNumberFormat="1" applyFill="1" applyBorder="1" applyAlignment="1">
      <alignment horizontal="center" vertical="center"/>
    </xf>
    <xf numFmtId="167" fontId="0" fillId="5" borderId="73" xfId="0" applyNumberFormat="1" applyFill="1" applyBorder="1" applyAlignment="1">
      <alignment horizontal="center" vertical="center"/>
    </xf>
    <xf numFmtId="167" fontId="0" fillId="5" borderId="74" xfId="0" applyNumberFormat="1" applyFill="1" applyBorder="1" applyAlignment="1">
      <alignment horizontal="center" vertical="center"/>
    </xf>
    <xf numFmtId="165" fontId="0" fillId="5" borderId="73" xfId="0" applyNumberFormat="1" applyFill="1" applyBorder="1" applyAlignment="1">
      <alignment horizontal="center" vertical="center"/>
    </xf>
    <xf numFmtId="165" fontId="0" fillId="5" borderId="74" xfId="0" applyNumberFormat="1" applyFill="1" applyBorder="1" applyAlignment="1">
      <alignment horizontal="center" vertical="center"/>
    </xf>
    <xf numFmtId="173" fontId="0" fillId="5" borderId="73" xfId="0" applyNumberFormat="1" applyFill="1" applyBorder="1" applyAlignment="1">
      <alignment horizontal="center" vertical="center"/>
    </xf>
    <xf numFmtId="173" fontId="0" fillId="5" borderId="74" xfId="0" applyNumberFormat="1" applyFill="1" applyBorder="1" applyAlignment="1">
      <alignment horizontal="center" vertical="center"/>
    </xf>
    <xf numFmtId="167" fontId="0" fillId="9" borderId="73" xfId="0" applyNumberFormat="1" applyFill="1" applyBorder="1" applyAlignment="1">
      <alignment horizontal="center" vertical="center"/>
    </xf>
    <xf numFmtId="0" fontId="0" fillId="9" borderId="74" xfId="0" applyFill="1" applyBorder="1" applyAlignment="1">
      <alignment horizontal="center" vertical="center"/>
    </xf>
    <xf numFmtId="10" fontId="0" fillId="17" borderId="73" xfId="0" applyNumberFormat="1" applyFill="1" applyBorder="1" applyAlignment="1">
      <alignment horizontal="center" vertical="center"/>
    </xf>
    <xf numFmtId="10" fontId="0" fillId="17" borderId="74" xfId="0" applyNumberFormat="1" applyFill="1" applyBorder="1" applyAlignment="1">
      <alignment horizontal="center" vertical="center"/>
    </xf>
    <xf numFmtId="167" fontId="0" fillId="17" borderId="73" xfId="0" applyNumberFormat="1" applyFill="1" applyBorder="1" applyAlignment="1">
      <alignment horizontal="center" vertical="center"/>
    </xf>
    <xf numFmtId="167" fontId="0" fillId="17" borderId="74" xfId="0" applyNumberFormat="1" applyFill="1" applyBorder="1" applyAlignment="1">
      <alignment horizontal="center" vertical="center"/>
    </xf>
    <xf numFmtId="0" fontId="0" fillId="17" borderId="73" xfId="0" applyFill="1" applyBorder="1" applyAlignment="1">
      <alignment horizontal="center" vertical="center"/>
    </xf>
    <xf numFmtId="0" fontId="0" fillId="17" borderId="74" xfId="0" applyFill="1" applyBorder="1" applyAlignment="1">
      <alignment horizontal="center" vertical="center"/>
    </xf>
    <xf numFmtId="168" fontId="0" fillId="6" borderId="6" xfId="0" applyNumberFormat="1" applyFill="1" applyBorder="1" applyAlignment="1">
      <alignment horizontal="center" vertical="center"/>
    </xf>
    <xf numFmtId="168" fontId="0" fillId="6" borderId="7" xfId="0" applyNumberFormat="1" applyFill="1" applyBorder="1" applyAlignment="1">
      <alignment horizontal="center" vertical="center"/>
    </xf>
    <xf numFmtId="168" fontId="0" fillId="6" borderId="8" xfId="0" applyNumberFormat="1" applyFill="1" applyBorder="1" applyAlignment="1">
      <alignment horizontal="center" vertical="center"/>
    </xf>
    <xf numFmtId="0" fontId="8" fillId="3" borderId="62" xfId="0" applyFont="1" applyFill="1" applyBorder="1" applyAlignment="1">
      <alignment horizontal="center" vertical="center"/>
    </xf>
    <xf numFmtId="0" fontId="8" fillId="3" borderId="63" xfId="0" applyFont="1" applyFill="1" applyBorder="1" applyAlignment="1">
      <alignment horizontal="center" vertical="center"/>
    </xf>
    <xf numFmtId="173" fontId="0" fillId="5" borderId="0" xfId="0" applyNumberFormat="1" applyFill="1" applyAlignment="1">
      <alignment horizontal="center" vertical="center"/>
    </xf>
    <xf numFmtId="174" fontId="0" fillId="5" borderId="65" xfId="0" applyNumberFormat="1" applyFill="1" applyBorder="1" applyAlignment="1">
      <alignment horizontal="center" vertical="center"/>
    </xf>
    <xf numFmtId="174" fontId="0" fillId="5" borderId="66" xfId="0" applyNumberFormat="1" applyFill="1" applyBorder="1" applyAlignment="1">
      <alignment horizontal="center" vertical="center"/>
    </xf>
    <xf numFmtId="167" fontId="0" fillId="5" borderId="65" xfId="0" applyNumberFormat="1" applyFill="1" applyBorder="1" applyAlignment="1">
      <alignment horizontal="center" vertical="center"/>
    </xf>
    <xf numFmtId="167" fontId="0" fillId="5" borderId="66" xfId="0" applyNumberFormat="1" applyFill="1" applyBorder="1" applyAlignment="1">
      <alignment horizontal="center" vertical="center"/>
    </xf>
    <xf numFmtId="0" fontId="0" fillId="5" borderId="65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173" fontId="0" fillId="5" borderId="76" xfId="0" applyNumberFormat="1" applyFill="1" applyBorder="1" applyAlignment="1">
      <alignment horizontal="center" vertical="center"/>
    </xf>
    <xf numFmtId="173" fontId="0" fillId="19" borderId="62" xfId="0" applyNumberFormat="1" applyFill="1" applyBorder="1" applyAlignment="1">
      <alignment horizontal="center" vertical="center"/>
    </xf>
    <xf numFmtId="173" fontId="0" fillId="19" borderId="63" xfId="0" applyNumberFormat="1" applyFill="1" applyBorder="1" applyAlignment="1">
      <alignment horizontal="center" vertical="center"/>
    </xf>
    <xf numFmtId="173" fontId="0" fillId="19" borderId="65" xfId="0" applyNumberFormat="1" applyFill="1" applyBorder="1" applyAlignment="1">
      <alignment horizontal="center" vertical="center"/>
    </xf>
    <xf numFmtId="173" fontId="0" fillId="19" borderId="66" xfId="0" applyNumberFormat="1" applyFill="1" applyBorder="1" applyAlignment="1">
      <alignment horizontal="center" vertical="center"/>
    </xf>
    <xf numFmtId="10" fontId="0" fillId="19" borderId="65" xfId="0" applyNumberFormat="1" applyFill="1" applyBorder="1" applyAlignment="1">
      <alignment horizontal="center" vertical="center"/>
    </xf>
    <xf numFmtId="10" fontId="0" fillId="19" borderId="66" xfId="0" applyNumberFormat="1" applyFill="1" applyBorder="1" applyAlignment="1">
      <alignment horizontal="center" vertical="center"/>
    </xf>
    <xf numFmtId="167" fontId="0" fillId="19" borderId="65" xfId="0" applyNumberFormat="1" applyFill="1" applyBorder="1" applyAlignment="1">
      <alignment horizontal="center" vertical="center"/>
    </xf>
    <xf numFmtId="167" fontId="0" fillId="19" borderId="66" xfId="0" applyNumberFormat="1" applyFill="1" applyBorder="1" applyAlignment="1">
      <alignment horizontal="center" vertical="center"/>
    </xf>
    <xf numFmtId="0" fontId="0" fillId="19" borderId="65" xfId="0" applyFill="1" applyBorder="1" applyAlignment="1">
      <alignment horizontal="center" vertical="center"/>
    </xf>
    <xf numFmtId="0" fontId="0" fillId="19" borderId="66" xfId="0" applyFill="1" applyBorder="1" applyAlignment="1">
      <alignment horizontal="center" vertical="center"/>
    </xf>
    <xf numFmtId="1" fontId="0" fillId="9" borderId="73" xfId="0" applyNumberFormat="1" applyFill="1" applyBorder="1" applyAlignment="1">
      <alignment horizontal="center" vertical="center"/>
    </xf>
    <xf numFmtId="1" fontId="0" fillId="9" borderId="74" xfId="0" applyNumberFormat="1" applyFill="1" applyBorder="1" applyAlignment="1">
      <alignment horizontal="center" vertical="center"/>
    </xf>
    <xf numFmtId="175" fontId="0" fillId="9" borderId="73" xfId="0" applyNumberFormat="1" applyFill="1" applyBorder="1" applyAlignment="1">
      <alignment horizontal="center" vertical="center"/>
    </xf>
    <xf numFmtId="175" fontId="0" fillId="9" borderId="74" xfId="0" applyNumberFormat="1" applyFill="1" applyBorder="1" applyAlignment="1">
      <alignment horizontal="center" vertical="center"/>
    </xf>
    <xf numFmtId="167" fontId="0" fillId="26" borderId="73" xfId="0" applyNumberFormat="1" applyFill="1" applyBorder="1" applyAlignment="1">
      <alignment horizontal="center" vertical="center"/>
    </xf>
    <xf numFmtId="0" fontId="0" fillId="26" borderId="74" xfId="0" applyFill="1" applyBorder="1" applyAlignment="1">
      <alignment horizontal="center" vertical="center"/>
    </xf>
    <xf numFmtId="1" fontId="0" fillId="26" borderId="73" xfId="0" applyNumberFormat="1" applyFill="1" applyBorder="1" applyAlignment="1">
      <alignment horizontal="center" vertical="center"/>
    </xf>
    <xf numFmtId="1" fontId="0" fillId="26" borderId="74" xfId="0" applyNumberFormat="1" applyFill="1" applyBorder="1" applyAlignment="1">
      <alignment horizontal="center" vertical="center"/>
    </xf>
    <xf numFmtId="168" fontId="0" fillId="5" borderId="12" xfId="0" applyNumberFormat="1" applyFill="1" applyBorder="1" applyAlignment="1">
      <alignment horizontal="center" vertical="center"/>
    </xf>
    <xf numFmtId="168" fontId="0" fillId="5" borderId="13" xfId="0" applyNumberForma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8" fontId="0" fillId="15" borderId="6" xfId="0" applyNumberFormat="1" applyFill="1" applyBorder="1" applyAlignment="1">
      <alignment vertical="center"/>
    </xf>
    <xf numFmtId="168" fontId="0" fillId="15" borderId="7" xfId="0" applyNumberFormat="1" applyFill="1" applyBorder="1" applyAlignment="1">
      <alignment vertical="center"/>
    </xf>
    <xf numFmtId="168" fontId="0" fillId="15" borderId="8" xfId="0" applyNumberFormat="1" applyFill="1" applyBorder="1" applyAlignment="1">
      <alignment vertical="center"/>
    </xf>
    <xf numFmtId="1" fontId="0" fillId="6" borderId="6" xfId="0" applyNumberFormat="1" applyFill="1" applyBorder="1" applyAlignment="1">
      <alignment horizontal="center" vertical="center"/>
    </xf>
    <xf numFmtId="1" fontId="0" fillId="6" borderId="7" xfId="0" applyNumberFormat="1" applyFill="1" applyBorder="1" applyAlignment="1">
      <alignment horizontal="center" vertical="center"/>
    </xf>
    <xf numFmtId="1" fontId="0" fillId="6" borderId="8" xfId="0" applyNumberFormat="1" applyFill="1" applyBorder="1" applyAlignment="1">
      <alignment horizontal="center" vertical="center"/>
    </xf>
    <xf numFmtId="167" fontId="0" fillId="6" borderId="6" xfId="1" applyNumberFormat="1" applyFont="1" applyFill="1" applyBorder="1" applyAlignment="1">
      <alignment horizontal="center" vertical="center"/>
    </xf>
    <xf numFmtId="167" fontId="0" fillId="6" borderId="7" xfId="1" applyNumberFormat="1" applyFont="1" applyFill="1" applyBorder="1" applyAlignment="1">
      <alignment horizontal="center" vertical="center"/>
    </xf>
    <xf numFmtId="167" fontId="0" fillId="6" borderId="8" xfId="1" applyNumberFormat="1" applyFont="1" applyFill="1" applyBorder="1" applyAlignment="1">
      <alignment horizontal="center" vertical="center"/>
    </xf>
    <xf numFmtId="167" fontId="0" fillId="6" borderId="6" xfId="0" applyNumberFormat="1" applyFill="1" applyBorder="1" applyAlignment="1">
      <alignment horizontal="center" vertical="center"/>
    </xf>
    <xf numFmtId="167" fontId="0" fillId="6" borderId="7" xfId="0" applyNumberFormat="1" applyFill="1" applyBorder="1" applyAlignment="1">
      <alignment horizontal="center" vertical="center"/>
    </xf>
    <xf numFmtId="167" fontId="0" fillId="6" borderId="8" xfId="0" applyNumberFormat="1" applyFill="1" applyBorder="1" applyAlignment="1">
      <alignment horizontal="center" vertical="center"/>
    </xf>
    <xf numFmtId="167" fontId="0" fillId="7" borderId="6" xfId="0" applyNumberFormat="1" applyFill="1" applyBorder="1" applyAlignment="1">
      <alignment horizontal="center" vertical="center"/>
    </xf>
    <xf numFmtId="167" fontId="0" fillId="7" borderId="8" xfId="0" applyNumberFormat="1" applyFill="1" applyBorder="1" applyAlignment="1">
      <alignment horizontal="center" vertical="center"/>
    </xf>
    <xf numFmtId="165" fontId="0" fillId="15" borderId="6" xfId="0" applyNumberFormat="1" applyFill="1" applyBorder="1" applyAlignment="1">
      <alignment horizontal="center" vertical="center"/>
    </xf>
    <xf numFmtId="165" fontId="0" fillId="15" borderId="7" xfId="0" applyNumberFormat="1" applyFill="1" applyBorder="1" applyAlignment="1">
      <alignment horizontal="center" vertical="center"/>
    </xf>
    <xf numFmtId="165" fontId="0" fillId="15" borderId="8" xfId="0" applyNumberFormat="1" applyFill="1" applyBorder="1" applyAlignment="1">
      <alignment horizontal="center" vertical="center"/>
    </xf>
    <xf numFmtId="168" fontId="0" fillId="15" borderId="6" xfId="0" applyNumberFormat="1" applyFill="1" applyBorder="1" applyAlignment="1">
      <alignment horizontal="center" vertical="center"/>
    </xf>
    <xf numFmtId="168" fontId="0" fillId="15" borderId="7" xfId="0" applyNumberFormat="1" applyFill="1" applyBorder="1" applyAlignment="1">
      <alignment horizontal="center" vertical="center"/>
    </xf>
    <xf numFmtId="168" fontId="0" fillId="15" borderId="8" xfId="0" applyNumberFormat="1" applyFill="1" applyBorder="1" applyAlignment="1">
      <alignment horizontal="center" vertical="center"/>
    </xf>
    <xf numFmtId="167" fontId="0" fillId="8" borderId="6" xfId="0" applyNumberFormat="1" applyFill="1" applyBorder="1" applyAlignment="1">
      <alignment horizontal="center" vertical="center"/>
    </xf>
    <xf numFmtId="167" fontId="0" fillId="8" borderId="7" xfId="0" applyNumberFormat="1" applyFill="1" applyBorder="1" applyAlignment="1">
      <alignment horizontal="center" vertical="center"/>
    </xf>
    <xf numFmtId="167" fontId="0" fillId="8" borderId="8" xfId="0" applyNumberFormat="1" applyFill="1" applyBorder="1" applyAlignment="1">
      <alignment horizontal="center" vertical="center"/>
    </xf>
    <xf numFmtId="168" fontId="0" fillId="9" borderId="6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167" fontId="0" fillId="9" borderId="6" xfId="0" applyNumberForma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165" fontId="0" fillId="8" borderId="6" xfId="1" applyNumberFormat="1" applyFont="1" applyFill="1" applyBorder="1" applyAlignment="1">
      <alignment horizontal="center" vertical="center"/>
    </xf>
    <xf numFmtId="165" fontId="0" fillId="8" borderId="7" xfId="1" applyNumberFormat="1" applyFont="1" applyFill="1" applyBorder="1" applyAlignment="1">
      <alignment horizontal="center" vertical="center"/>
    </xf>
    <xf numFmtId="165" fontId="0" fillId="8" borderId="8" xfId="1" applyNumberFormat="1" applyFont="1" applyFill="1" applyBorder="1" applyAlignment="1">
      <alignment horizontal="center" vertical="center"/>
    </xf>
    <xf numFmtId="167" fontId="0" fillId="8" borderId="6" xfId="3" applyNumberFormat="1" applyFont="1" applyFill="1" applyBorder="1" applyAlignment="1">
      <alignment horizontal="center" vertical="center"/>
    </xf>
    <xf numFmtId="167" fontId="0" fillId="8" borderId="7" xfId="3" applyNumberFormat="1" applyFont="1" applyFill="1" applyBorder="1" applyAlignment="1">
      <alignment horizontal="center" vertical="center"/>
    </xf>
    <xf numFmtId="167" fontId="0" fillId="8" borderId="8" xfId="3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7" fontId="0" fillId="7" borderId="6" xfId="0" applyNumberFormat="1" applyFill="1" applyBorder="1" applyAlignment="1">
      <alignment horizontal="center" vertical="center" wrapText="1"/>
    </xf>
    <xf numFmtId="167" fontId="0" fillId="7" borderId="7" xfId="0" applyNumberFormat="1" applyFill="1" applyBorder="1" applyAlignment="1">
      <alignment horizontal="center" vertical="center" wrapText="1"/>
    </xf>
    <xf numFmtId="167" fontId="0" fillId="7" borderId="8" xfId="0" applyNumberFormat="1" applyFill="1" applyBorder="1" applyAlignment="1">
      <alignment horizontal="center" vertical="center" wrapText="1"/>
    </xf>
    <xf numFmtId="9" fontId="0" fillId="7" borderId="6" xfId="1" applyFont="1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 vertical="center"/>
    </xf>
    <xf numFmtId="168" fontId="0" fillId="7" borderId="6" xfId="0" applyNumberFormat="1" applyFill="1" applyBorder="1" applyAlignment="1">
      <alignment horizontal="center" vertical="center"/>
    </xf>
    <xf numFmtId="168" fontId="0" fillId="7" borderId="8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171" fontId="0" fillId="7" borderId="6" xfId="0" applyNumberFormat="1" applyFill="1" applyBorder="1" applyAlignment="1">
      <alignment horizontal="center" vertical="center"/>
    </xf>
    <xf numFmtId="171" fontId="0" fillId="7" borderId="8" xfId="0" applyNumberFormat="1" applyFill="1" applyBorder="1" applyAlignment="1">
      <alignment horizontal="center" vertical="center"/>
    </xf>
    <xf numFmtId="168" fontId="0" fillId="7" borderId="6" xfId="1" applyNumberFormat="1" applyFont="1" applyFill="1" applyBorder="1" applyAlignment="1">
      <alignment horizontal="center" vertical="center"/>
    </xf>
    <xf numFmtId="168" fontId="0" fillId="7" borderId="8" xfId="1" applyNumberFormat="1" applyFont="1" applyFill="1" applyBorder="1" applyAlignment="1">
      <alignment horizontal="center" vertical="center"/>
    </xf>
    <xf numFmtId="167" fontId="0" fillId="7" borderId="6" xfId="3" applyNumberFormat="1" applyFont="1" applyFill="1" applyBorder="1" applyAlignment="1">
      <alignment horizontal="center" vertical="center"/>
    </xf>
    <xf numFmtId="167" fontId="0" fillId="7" borderId="8" xfId="3" applyNumberFormat="1" applyFont="1" applyFill="1" applyBorder="1" applyAlignment="1">
      <alignment horizontal="center" vertical="center"/>
    </xf>
    <xf numFmtId="9" fontId="0" fillId="6" borderId="6" xfId="1" applyFont="1" applyFill="1" applyBorder="1" applyAlignment="1">
      <alignment horizontal="center" vertical="center"/>
    </xf>
    <xf numFmtId="9" fontId="0" fillId="6" borderId="8" xfId="1" applyFont="1" applyFill="1" applyBorder="1" applyAlignment="1">
      <alignment horizontal="center" vertical="center"/>
    </xf>
    <xf numFmtId="167" fontId="0" fillId="10" borderId="6" xfId="0" applyNumberFormat="1" applyFill="1" applyBorder="1" applyAlignment="1">
      <alignment horizontal="center" vertical="center"/>
    </xf>
    <xf numFmtId="167" fontId="0" fillId="10" borderId="7" xfId="0" applyNumberFormat="1" applyFill="1" applyBorder="1" applyAlignment="1">
      <alignment horizontal="center" vertical="center"/>
    </xf>
    <xf numFmtId="167" fontId="0" fillId="10" borderId="8" xfId="0" applyNumberFormat="1" applyFill="1" applyBorder="1" applyAlignment="1">
      <alignment horizontal="center" vertical="center"/>
    </xf>
    <xf numFmtId="9" fontId="0" fillId="7" borderId="7" xfId="1" applyFont="1" applyFill="1" applyBorder="1" applyAlignment="1">
      <alignment horizontal="center" vertical="center"/>
    </xf>
    <xf numFmtId="167" fontId="0" fillId="7" borderId="7" xfId="0" applyNumberFormat="1" applyFill="1" applyBorder="1" applyAlignment="1">
      <alignment horizontal="center" vertical="center"/>
    </xf>
    <xf numFmtId="2" fontId="0" fillId="10" borderId="6" xfId="0" applyNumberFormat="1" applyFill="1" applyBorder="1" applyAlignment="1">
      <alignment horizontal="center" vertical="center"/>
    </xf>
    <xf numFmtId="2" fontId="0" fillId="10" borderId="7" xfId="0" applyNumberFormat="1" applyFill="1" applyBorder="1" applyAlignment="1">
      <alignment horizontal="center" vertical="center"/>
    </xf>
    <xf numFmtId="2" fontId="0" fillId="10" borderId="8" xfId="0" applyNumberFormat="1" applyFill="1" applyBorder="1" applyAlignment="1">
      <alignment horizontal="center" vertical="center"/>
    </xf>
    <xf numFmtId="168" fontId="0" fillId="15" borderId="6" xfId="1" applyNumberFormat="1" applyFont="1" applyFill="1" applyBorder="1" applyAlignment="1">
      <alignment vertical="center"/>
    </xf>
    <xf numFmtId="168" fontId="0" fillId="15" borderId="7" xfId="1" applyNumberFormat="1" applyFont="1" applyFill="1" applyBorder="1" applyAlignment="1">
      <alignment vertical="center"/>
    </xf>
    <xf numFmtId="168" fontId="0" fillId="15" borderId="8" xfId="1" applyNumberFormat="1" applyFont="1" applyFill="1" applyBorder="1" applyAlignment="1">
      <alignment vertical="center"/>
    </xf>
    <xf numFmtId="168" fontId="0" fillId="15" borderId="6" xfId="1" applyNumberFormat="1" applyFont="1" applyFill="1" applyBorder="1" applyAlignment="1">
      <alignment horizontal="center" vertical="center"/>
    </xf>
    <xf numFmtId="168" fontId="0" fillId="15" borderId="7" xfId="1" applyNumberFormat="1" applyFont="1" applyFill="1" applyBorder="1" applyAlignment="1">
      <alignment horizontal="center" vertical="center"/>
    </xf>
    <xf numFmtId="168" fontId="0" fillId="15" borderId="8" xfId="1" applyNumberFormat="1" applyFont="1" applyFill="1" applyBorder="1" applyAlignment="1">
      <alignment horizontal="center" vertical="center"/>
    </xf>
    <xf numFmtId="168" fontId="0" fillId="9" borderId="6" xfId="1" applyNumberFormat="1" applyFont="1" applyFill="1" applyBorder="1" applyAlignment="1">
      <alignment horizontal="center" vertical="center"/>
    </xf>
    <xf numFmtId="168" fontId="0" fillId="9" borderId="8" xfId="1" applyNumberFormat="1" applyFont="1" applyFill="1" applyBorder="1" applyAlignment="1">
      <alignment horizontal="center" vertical="center"/>
    </xf>
    <xf numFmtId="9" fontId="0" fillId="10" borderId="6" xfId="1" applyFont="1" applyFill="1" applyBorder="1" applyAlignment="1">
      <alignment horizontal="center" vertical="center"/>
    </xf>
    <xf numFmtId="9" fontId="0" fillId="10" borderId="7" xfId="1" applyFont="1" applyFill="1" applyBorder="1" applyAlignment="1">
      <alignment horizontal="center" vertical="center"/>
    </xf>
    <xf numFmtId="9" fontId="0" fillId="10" borderId="8" xfId="1" applyFont="1" applyFill="1" applyBorder="1" applyAlignment="1">
      <alignment horizontal="center" vertical="center"/>
    </xf>
    <xf numFmtId="167" fontId="0" fillId="10" borderId="6" xfId="3" applyNumberFormat="1" applyFont="1" applyFill="1" applyBorder="1" applyAlignment="1">
      <alignment horizontal="center" vertical="center"/>
    </xf>
    <xf numFmtId="167" fontId="0" fillId="10" borderId="7" xfId="3" applyNumberFormat="1" applyFont="1" applyFill="1" applyBorder="1" applyAlignment="1">
      <alignment horizontal="center" vertical="center"/>
    </xf>
    <xf numFmtId="167" fontId="0" fillId="10" borderId="8" xfId="3" applyNumberFormat="1" applyFont="1" applyFill="1" applyBorder="1" applyAlignment="1">
      <alignment horizontal="center" vertical="center"/>
    </xf>
    <xf numFmtId="2" fontId="0" fillId="7" borderId="6" xfId="0" applyNumberFormat="1" applyFill="1" applyBorder="1" applyAlignment="1">
      <alignment horizontal="center" vertical="center"/>
    </xf>
    <xf numFmtId="2" fontId="0" fillId="7" borderId="7" xfId="0" applyNumberFormat="1" applyFill="1" applyBorder="1" applyAlignment="1">
      <alignment horizontal="center" vertical="center"/>
    </xf>
    <xf numFmtId="2" fontId="0" fillId="7" borderId="8" xfId="0" applyNumberFormat="1" applyFill="1" applyBorder="1" applyAlignment="1">
      <alignment horizontal="center" vertical="center"/>
    </xf>
    <xf numFmtId="167" fontId="0" fillId="9" borderId="7" xfId="0" applyNumberFormat="1" applyFill="1" applyBorder="1" applyAlignment="1">
      <alignment horizontal="center" vertical="center"/>
    </xf>
    <xf numFmtId="167" fontId="0" fillId="9" borderId="8" xfId="0" applyNumberFormat="1" applyFill="1" applyBorder="1" applyAlignment="1">
      <alignment horizontal="center" vertical="center"/>
    </xf>
    <xf numFmtId="9" fontId="0" fillId="9" borderId="6" xfId="1" applyFont="1" applyFill="1" applyBorder="1" applyAlignment="1">
      <alignment horizontal="center" vertical="center"/>
    </xf>
    <xf numFmtId="9" fontId="0" fillId="9" borderId="7" xfId="1" applyFont="1" applyFill="1" applyBorder="1" applyAlignment="1">
      <alignment horizontal="center" vertical="center"/>
    </xf>
    <xf numFmtId="9" fontId="0" fillId="9" borderId="8" xfId="1" applyFont="1" applyFill="1" applyBorder="1" applyAlignment="1">
      <alignment horizontal="center" vertical="center"/>
    </xf>
    <xf numFmtId="2" fontId="0" fillId="9" borderId="6" xfId="0" applyNumberFormat="1" applyFill="1" applyBorder="1" applyAlignment="1">
      <alignment horizontal="center" vertical="center"/>
    </xf>
    <xf numFmtId="2" fontId="0" fillId="9" borderId="7" xfId="0" applyNumberFormat="1" applyFill="1" applyBorder="1" applyAlignment="1">
      <alignment horizontal="center" vertical="center"/>
    </xf>
    <xf numFmtId="2" fontId="0" fillId="9" borderId="8" xfId="0" applyNumberFormat="1" applyFill="1" applyBorder="1" applyAlignment="1">
      <alignment horizontal="center" vertical="center"/>
    </xf>
    <xf numFmtId="2" fontId="0" fillId="6" borderId="6" xfId="0" applyNumberFormat="1" applyFill="1" applyBorder="1" applyAlignment="1">
      <alignment horizontal="center" vertical="center"/>
    </xf>
    <xf numFmtId="2" fontId="0" fillId="6" borderId="8" xfId="0" applyNumberFormat="1" applyFill="1" applyBorder="1" applyAlignment="1">
      <alignment horizontal="center" vertical="center"/>
    </xf>
    <xf numFmtId="9" fontId="0" fillId="7" borderId="6" xfId="1" applyFont="1" applyFill="1" applyBorder="1" applyAlignment="1">
      <alignment horizontal="center" vertical="center" wrapText="1"/>
    </xf>
    <xf numFmtId="9" fontId="0" fillId="7" borderId="7" xfId="1" applyFont="1" applyFill="1" applyBorder="1" applyAlignment="1">
      <alignment horizontal="center" vertical="center" wrapText="1"/>
    </xf>
    <xf numFmtId="9" fontId="0" fillId="7" borderId="8" xfId="1" applyFont="1" applyFill="1" applyBorder="1" applyAlignment="1">
      <alignment horizontal="center" vertical="center" wrapText="1"/>
    </xf>
    <xf numFmtId="168" fontId="0" fillId="8" borderId="6" xfId="0" applyNumberFormat="1" applyFill="1" applyBorder="1" applyAlignment="1">
      <alignment horizontal="center" vertical="center"/>
    </xf>
    <xf numFmtId="168" fontId="0" fillId="8" borderId="7" xfId="0" applyNumberFormat="1" applyFill="1" applyBorder="1" applyAlignment="1">
      <alignment horizontal="center" vertical="center"/>
    </xf>
    <xf numFmtId="2" fontId="0" fillId="6" borderId="7" xfId="0" applyNumberFormat="1" applyFill="1" applyBorder="1" applyAlignment="1">
      <alignment horizontal="center" vertical="center"/>
    </xf>
    <xf numFmtId="9" fontId="0" fillId="6" borderId="7" xfId="1" applyFont="1" applyFill="1" applyBorder="1" applyAlignment="1">
      <alignment horizontal="center" vertical="center"/>
    </xf>
    <xf numFmtId="165" fontId="0" fillId="10" borderId="6" xfId="0" applyNumberFormat="1" applyFill="1" applyBorder="1" applyAlignment="1">
      <alignment horizontal="center" vertical="center"/>
    </xf>
    <xf numFmtId="165" fontId="0" fillId="10" borderId="7" xfId="0" applyNumberFormat="1" applyFill="1" applyBorder="1" applyAlignment="1">
      <alignment horizontal="center" vertical="center"/>
    </xf>
    <xf numFmtId="165" fontId="0" fillId="10" borderId="8" xfId="0" applyNumberFormat="1" applyFill="1" applyBorder="1" applyAlignment="1">
      <alignment horizontal="center" vertical="center"/>
    </xf>
    <xf numFmtId="168" fontId="0" fillId="24" borderId="6" xfId="3" applyNumberFormat="1" applyFont="1" applyFill="1" applyBorder="1" applyAlignment="1">
      <alignment horizontal="center" vertical="center"/>
    </xf>
    <xf numFmtId="168" fontId="0" fillId="24" borderId="7" xfId="3" applyNumberFormat="1" applyFont="1" applyFill="1" applyBorder="1" applyAlignment="1">
      <alignment horizontal="center" vertical="center"/>
    </xf>
    <xf numFmtId="168" fontId="0" fillId="24" borderId="8" xfId="3" applyNumberFormat="1" applyFont="1" applyFill="1" applyBorder="1" applyAlignment="1">
      <alignment horizontal="center" vertical="center"/>
    </xf>
    <xf numFmtId="0" fontId="0" fillId="24" borderId="6" xfId="0" applyFill="1" applyBorder="1" applyAlignment="1">
      <alignment horizontal="center" vertical="center"/>
    </xf>
    <xf numFmtId="0" fontId="0" fillId="24" borderId="7" xfId="0" applyFill="1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168" fontId="0" fillId="24" borderId="6" xfId="0" applyNumberFormat="1" applyFill="1" applyBorder="1" applyAlignment="1">
      <alignment horizontal="center" vertical="center"/>
    </xf>
    <xf numFmtId="168" fontId="0" fillId="24" borderId="7" xfId="0" applyNumberFormat="1" applyFill="1" applyBorder="1" applyAlignment="1">
      <alignment horizontal="center" vertical="center"/>
    </xf>
    <xf numFmtId="168" fontId="0" fillId="24" borderId="8" xfId="0" applyNumberFormat="1" applyFill="1" applyBorder="1" applyAlignment="1">
      <alignment horizontal="center" vertical="center"/>
    </xf>
    <xf numFmtId="168" fontId="0" fillId="5" borderId="11" xfId="0" applyNumberFormat="1" applyFill="1" applyBorder="1" applyAlignment="1">
      <alignment horizontal="center" vertical="center"/>
    </xf>
    <xf numFmtId="168" fontId="0" fillId="5" borderId="9" xfId="0" applyNumberFormat="1" applyFill="1" applyBorder="1" applyAlignment="1">
      <alignment horizontal="center" vertical="center"/>
    </xf>
    <xf numFmtId="9" fontId="0" fillId="24" borderId="6" xfId="1" applyFont="1" applyFill="1" applyBorder="1" applyAlignment="1">
      <alignment horizontal="center" vertical="center"/>
    </xf>
    <xf numFmtId="9" fontId="0" fillId="24" borderId="7" xfId="1" applyFont="1" applyFill="1" applyBorder="1" applyAlignment="1">
      <alignment horizontal="center" vertical="center"/>
    </xf>
    <xf numFmtId="9" fontId="0" fillId="24" borderId="8" xfId="1" applyFont="1" applyFill="1" applyBorder="1" applyAlignment="1">
      <alignment horizontal="center" vertical="center"/>
    </xf>
    <xf numFmtId="167" fontId="0" fillId="24" borderId="6" xfId="0" applyNumberFormat="1" applyFill="1" applyBorder="1" applyAlignment="1">
      <alignment horizontal="center" vertical="center"/>
    </xf>
    <xf numFmtId="167" fontId="0" fillId="24" borderId="7" xfId="0" applyNumberFormat="1" applyFill="1" applyBorder="1" applyAlignment="1">
      <alignment horizontal="center" vertical="center"/>
    </xf>
    <xf numFmtId="167" fontId="0" fillId="24" borderId="8" xfId="0" applyNumberFormat="1" applyFill="1" applyBorder="1" applyAlignment="1">
      <alignment horizontal="center" vertical="center"/>
    </xf>
    <xf numFmtId="168" fontId="0" fillId="9" borderId="7" xfId="0" applyNumberFormat="1" applyFill="1" applyBorder="1" applyAlignment="1">
      <alignment horizontal="center" vertical="center"/>
    </xf>
    <xf numFmtId="168" fontId="0" fillId="9" borderId="8" xfId="0" applyNumberFormat="1" applyFill="1" applyBorder="1" applyAlignment="1">
      <alignment horizontal="center" vertical="center"/>
    </xf>
    <xf numFmtId="165" fontId="0" fillId="8" borderId="6" xfId="0" applyNumberFormat="1" applyFill="1" applyBorder="1" applyAlignment="1">
      <alignment horizontal="center" vertical="center"/>
    </xf>
    <xf numFmtId="165" fontId="0" fillId="8" borderId="7" xfId="0" applyNumberFormat="1" applyFill="1" applyBorder="1" applyAlignment="1">
      <alignment horizontal="center" vertical="center"/>
    </xf>
    <xf numFmtId="165" fontId="0" fillId="5" borderId="6" xfId="0" applyNumberFormat="1" applyFill="1" applyBorder="1" applyAlignment="1">
      <alignment horizontal="center" vertical="center"/>
    </xf>
    <xf numFmtId="165" fontId="0" fillId="5" borderId="7" xfId="0" applyNumberFormat="1" applyFill="1" applyBorder="1" applyAlignment="1">
      <alignment horizontal="center" vertical="center"/>
    </xf>
    <xf numFmtId="168" fontId="0" fillId="9" borderId="6" xfId="3" applyNumberFormat="1" applyFont="1" applyFill="1" applyBorder="1" applyAlignment="1">
      <alignment horizontal="center" vertical="center"/>
    </xf>
    <xf numFmtId="168" fontId="0" fillId="9" borderId="7" xfId="3" applyNumberFormat="1" applyFont="1" applyFill="1" applyBorder="1" applyAlignment="1">
      <alignment horizontal="center" vertical="center"/>
    </xf>
    <xf numFmtId="168" fontId="0" fillId="9" borderId="8" xfId="3" applyNumberFormat="1" applyFont="1" applyFill="1" applyBorder="1" applyAlignment="1">
      <alignment horizontal="center" vertical="center"/>
    </xf>
    <xf numFmtId="170" fontId="0" fillId="6" borderId="6" xfId="0" applyNumberFormat="1" applyFill="1" applyBorder="1" applyAlignment="1">
      <alignment horizontal="center" vertical="center"/>
    </xf>
    <xf numFmtId="170" fontId="0" fillId="6" borderId="7" xfId="0" applyNumberFormat="1" applyFill="1" applyBorder="1" applyAlignment="1">
      <alignment horizontal="center" vertical="center"/>
    </xf>
    <xf numFmtId="170" fontId="0" fillId="6" borderId="8" xfId="0" applyNumberFormat="1" applyFill="1" applyBorder="1" applyAlignment="1">
      <alignment horizontal="center" vertical="center"/>
    </xf>
    <xf numFmtId="9" fontId="0" fillId="8" borderId="6" xfId="1" applyFont="1" applyFill="1" applyBorder="1" applyAlignment="1">
      <alignment horizontal="center" vertical="center"/>
    </xf>
    <xf numFmtId="9" fontId="0" fillId="8" borderId="7" xfId="1" applyFont="1" applyFill="1" applyBorder="1" applyAlignment="1">
      <alignment horizontal="center" vertical="center"/>
    </xf>
    <xf numFmtId="167" fontId="0" fillId="9" borderId="6" xfId="3" applyNumberFormat="1" applyFont="1" applyFill="1" applyBorder="1" applyAlignment="1">
      <alignment horizontal="center" vertical="center"/>
    </xf>
    <xf numFmtId="167" fontId="0" fillId="9" borderId="7" xfId="3" applyNumberFormat="1" applyFont="1" applyFill="1" applyBorder="1" applyAlignment="1">
      <alignment horizontal="center" vertical="center"/>
    </xf>
    <xf numFmtId="167" fontId="0" fillId="9" borderId="8" xfId="3" applyNumberFormat="1" applyFont="1" applyFill="1" applyBorder="1" applyAlignment="1">
      <alignment horizontal="center" vertical="center"/>
    </xf>
    <xf numFmtId="165" fontId="0" fillId="9" borderId="6" xfId="0" applyNumberFormat="1" applyFill="1" applyBorder="1" applyAlignment="1">
      <alignment horizontal="center" vertical="center"/>
    </xf>
    <xf numFmtId="165" fontId="0" fillId="9" borderId="7" xfId="0" applyNumberFormat="1" applyFill="1" applyBorder="1" applyAlignment="1">
      <alignment horizontal="center" vertical="center"/>
    </xf>
    <xf numFmtId="165" fontId="0" fillId="9" borderId="8" xfId="0" applyNumberFormat="1" applyFill="1" applyBorder="1" applyAlignment="1">
      <alignment horizontal="center" vertical="center"/>
    </xf>
    <xf numFmtId="9" fontId="0" fillId="15" borderId="6" xfId="1" applyFont="1" applyFill="1" applyBorder="1" applyAlignment="1">
      <alignment horizontal="center" vertical="center"/>
    </xf>
    <xf numFmtId="9" fontId="0" fillId="15" borderId="7" xfId="1" applyFont="1" applyFill="1" applyBorder="1" applyAlignment="1">
      <alignment horizontal="center" vertical="center"/>
    </xf>
    <xf numFmtId="9" fontId="0" fillId="15" borderId="8" xfId="1" applyFont="1" applyFill="1" applyBorder="1" applyAlignment="1">
      <alignment horizontal="center" vertical="center"/>
    </xf>
    <xf numFmtId="173" fontId="0" fillId="17" borderId="76" xfId="0" applyNumberFormat="1" applyFill="1" applyBorder="1" applyAlignment="1">
      <alignment horizontal="center" vertical="center"/>
    </xf>
    <xf numFmtId="173" fontId="0" fillId="17" borderId="0" xfId="0" applyNumberFormat="1" applyFill="1" applyAlignment="1">
      <alignment horizontal="center" vertical="center"/>
    </xf>
    <xf numFmtId="173" fontId="0" fillId="17" borderId="65" xfId="0" applyNumberFormat="1" applyFill="1" applyBorder="1" applyAlignment="1">
      <alignment horizontal="center" vertical="center"/>
    </xf>
    <xf numFmtId="173" fontId="0" fillId="17" borderId="66" xfId="0" applyNumberFormat="1" applyFill="1" applyBorder="1" applyAlignment="1">
      <alignment horizontal="center" vertical="center"/>
    </xf>
    <xf numFmtId="2" fontId="0" fillId="17" borderId="65" xfId="0" applyNumberFormat="1" applyFill="1" applyBorder="1" applyAlignment="1">
      <alignment horizontal="center" vertical="center"/>
    </xf>
    <xf numFmtId="2" fontId="0" fillId="17" borderId="66" xfId="0" applyNumberFormat="1" applyFill="1" applyBorder="1" applyAlignment="1">
      <alignment horizontal="center" vertical="center"/>
    </xf>
    <xf numFmtId="167" fontId="0" fillId="17" borderId="65" xfId="0" applyNumberFormat="1" applyFill="1" applyBorder="1" applyAlignment="1">
      <alignment horizontal="center" vertical="center"/>
    </xf>
    <xf numFmtId="167" fontId="0" fillId="17" borderId="66" xfId="0" applyNumberFormat="1" applyFill="1" applyBorder="1" applyAlignment="1">
      <alignment horizontal="center" vertical="center"/>
    </xf>
    <xf numFmtId="173" fontId="0" fillId="17" borderId="62" xfId="0" applyNumberFormat="1" applyFill="1" applyBorder="1" applyAlignment="1">
      <alignment horizontal="center" vertical="center"/>
    </xf>
    <xf numFmtId="173" fontId="0" fillId="17" borderId="63" xfId="0" applyNumberFormat="1" applyFill="1" applyBorder="1" applyAlignment="1">
      <alignment horizontal="center" vertical="center"/>
    </xf>
    <xf numFmtId="9" fontId="0" fillId="8" borderId="8" xfId="1" applyFont="1" applyFill="1" applyBorder="1" applyAlignment="1">
      <alignment horizontal="center" vertical="center"/>
    </xf>
    <xf numFmtId="173" fontId="0" fillId="9" borderId="73" xfId="0" applyNumberFormat="1" applyFill="1" applyBorder="1" applyAlignment="1">
      <alignment horizontal="center" vertical="center"/>
    </xf>
    <xf numFmtId="173" fontId="0" fillId="9" borderId="74" xfId="0" applyNumberFormat="1" applyFill="1" applyBorder="1" applyAlignment="1">
      <alignment horizontal="center" vertical="center"/>
    </xf>
    <xf numFmtId="10" fontId="0" fillId="26" borderId="73" xfId="0" applyNumberFormat="1" applyFill="1" applyBorder="1" applyAlignment="1">
      <alignment horizontal="center" vertical="center"/>
    </xf>
    <xf numFmtId="10" fontId="0" fillId="26" borderId="74" xfId="0" applyNumberFormat="1" applyFill="1" applyBorder="1" applyAlignment="1">
      <alignment horizontal="center" vertical="center"/>
    </xf>
    <xf numFmtId="167" fontId="0" fillId="15" borderId="122" xfId="0" applyNumberFormat="1" applyFill="1" applyBorder="1" applyAlignment="1">
      <alignment horizontal="center" vertical="center"/>
    </xf>
    <xf numFmtId="167" fontId="0" fillId="15" borderId="123" xfId="0" applyNumberFormat="1" applyFill="1" applyBorder="1" applyAlignment="1">
      <alignment horizontal="center" vertical="center"/>
    </xf>
    <xf numFmtId="167" fontId="0" fillId="15" borderId="134" xfId="0" applyNumberFormat="1" applyFill="1" applyBorder="1" applyAlignment="1">
      <alignment horizontal="center" vertical="center"/>
    </xf>
    <xf numFmtId="167" fontId="0" fillId="15" borderId="0" xfId="0" applyNumberFormat="1" applyFill="1" applyAlignment="1">
      <alignment horizontal="center" vertical="center"/>
    </xf>
    <xf numFmtId="167" fontId="0" fillId="15" borderId="156" xfId="0" applyNumberFormat="1" applyFill="1" applyBorder="1" applyAlignment="1">
      <alignment horizontal="center" vertical="center"/>
    </xf>
    <xf numFmtId="167" fontId="0" fillId="15" borderId="12" xfId="0" applyNumberFormat="1" applyFill="1" applyBorder="1" applyAlignment="1">
      <alignment horizontal="center" vertical="center"/>
    </xf>
    <xf numFmtId="167" fontId="0" fillId="15" borderId="13" xfId="0" applyNumberFormat="1" applyFill="1" applyBorder="1" applyAlignment="1">
      <alignment horizontal="center" vertical="center"/>
    </xf>
    <xf numFmtId="167" fontId="0" fillId="15" borderId="6" xfId="0" applyNumberFormat="1" applyFill="1" applyBorder="1" applyAlignment="1">
      <alignment horizontal="center" vertical="center"/>
    </xf>
    <xf numFmtId="167" fontId="0" fillId="15" borderId="7" xfId="0" applyNumberFormat="1" applyFill="1" applyBorder="1" applyAlignment="1">
      <alignment horizontal="center" vertical="center"/>
    </xf>
    <xf numFmtId="167" fontId="0" fillId="15" borderId="11" xfId="0" applyNumberFormat="1" applyFill="1" applyBorder="1" applyAlignment="1">
      <alignment horizontal="center" vertical="center"/>
    </xf>
    <xf numFmtId="167" fontId="0" fillId="15" borderId="9" xfId="0" applyNumberFormat="1" applyFill="1" applyBorder="1" applyAlignment="1">
      <alignment horizontal="center" vertical="center"/>
    </xf>
    <xf numFmtId="9" fontId="0" fillId="15" borderId="122" xfId="1" applyFont="1" applyFill="1" applyBorder="1" applyAlignment="1">
      <alignment horizontal="center" vertical="center"/>
    </xf>
    <xf numFmtId="9" fontId="0" fillId="15" borderId="123" xfId="1" applyFont="1" applyFill="1" applyBorder="1" applyAlignment="1">
      <alignment horizontal="center" vertical="center"/>
    </xf>
    <xf numFmtId="173" fontId="0" fillId="15" borderId="134" xfId="0" applyNumberFormat="1" applyFill="1" applyBorder="1" applyAlignment="1">
      <alignment horizontal="center" vertical="center"/>
    </xf>
    <xf numFmtId="173" fontId="0" fillId="15" borderId="132" xfId="0" applyNumberFormat="1" applyFill="1" applyBorder="1" applyAlignment="1">
      <alignment horizontal="center" vertical="center"/>
    </xf>
    <xf numFmtId="2" fontId="0" fillId="15" borderId="82" xfId="0" applyNumberFormat="1" applyFill="1" applyBorder="1" applyAlignment="1">
      <alignment horizontal="center" vertical="center"/>
    </xf>
    <xf numFmtId="2" fontId="0" fillId="15" borderId="0" xfId="0" applyNumberFormat="1" applyFill="1" applyAlignment="1">
      <alignment horizontal="center" vertical="center"/>
    </xf>
    <xf numFmtId="178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56" xfId="0" applyFill="1" applyBorder="1" applyAlignment="1">
      <alignment horizontal="center" vertical="center"/>
    </xf>
    <xf numFmtId="178" fontId="0" fillId="9" borderId="126" xfId="0" applyNumberFormat="1" applyFill="1" applyBorder="1" applyAlignment="1">
      <alignment horizontal="center" vertical="center"/>
    </xf>
    <xf numFmtId="178" fontId="0" fillId="9" borderId="131" xfId="0" applyNumberFormat="1" applyFill="1" applyBorder="1" applyAlignment="1">
      <alignment horizontal="center" vertical="center"/>
    </xf>
    <xf numFmtId="178" fontId="0" fillId="9" borderId="122" xfId="0" applyNumberFormat="1" applyFill="1" applyBorder="1" applyAlignment="1">
      <alignment horizontal="center" vertical="center"/>
    </xf>
    <xf numFmtId="178" fontId="0" fillId="9" borderId="123" xfId="0" applyNumberFormat="1" applyFill="1" applyBorder="1" applyAlignment="1">
      <alignment horizontal="center" vertical="center"/>
    </xf>
    <xf numFmtId="178" fontId="0" fillId="9" borderId="124" xfId="0" applyNumberFormat="1" applyFill="1" applyBorder="1" applyAlignment="1">
      <alignment horizontal="center" vertical="center"/>
    </xf>
    <xf numFmtId="178" fontId="0" fillId="9" borderId="155" xfId="0" applyNumberFormat="1" applyFill="1" applyBorder="1" applyAlignment="1">
      <alignment horizontal="center" vertical="center"/>
    </xf>
    <xf numFmtId="178" fontId="0" fillId="9" borderId="156" xfId="0" applyNumberFormat="1" applyFill="1" applyBorder="1" applyAlignment="1">
      <alignment horizontal="center" vertical="center"/>
    </xf>
    <xf numFmtId="9" fontId="0" fillId="9" borderId="122" xfId="0" applyNumberFormat="1" applyFill="1" applyBorder="1" applyAlignment="1">
      <alignment horizontal="center" vertical="center"/>
    </xf>
    <xf numFmtId="9" fontId="0" fillId="9" borderId="123" xfId="0" applyNumberFormat="1" applyFill="1" applyBorder="1" applyAlignment="1">
      <alignment horizontal="center" vertical="center"/>
    </xf>
    <xf numFmtId="9" fontId="0" fillId="9" borderId="124" xfId="0" applyNumberFormat="1" applyFill="1" applyBorder="1" applyAlignment="1">
      <alignment horizontal="center" vertical="center"/>
    </xf>
    <xf numFmtId="167" fontId="0" fillId="9" borderId="155" xfId="0" applyNumberFormat="1" applyFill="1" applyBorder="1" applyAlignment="1">
      <alignment horizontal="center" vertical="center"/>
    </xf>
    <xf numFmtId="0" fontId="0" fillId="9" borderId="126" xfId="0" applyFill="1" applyBorder="1" applyAlignment="1">
      <alignment horizontal="center" vertical="center"/>
    </xf>
    <xf numFmtId="0" fontId="0" fillId="9" borderId="131" xfId="0" applyFill="1" applyBorder="1" applyAlignment="1">
      <alignment horizontal="center" vertical="center"/>
    </xf>
    <xf numFmtId="0" fontId="0" fillId="9" borderId="161" xfId="0" applyFill="1" applyBorder="1" applyAlignment="1">
      <alignment horizontal="center" vertical="center"/>
    </xf>
    <xf numFmtId="0" fontId="0" fillId="15" borderId="134" xfId="0" applyFill="1" applyBorder="1" applyAlignment="1">
      <alignment horizontal="center" vertical="center"/>
    </xf>
    <xf numFmtId="0" fontId="0" fillId="15" borderId="132" xfId="0" applyFill="1" applyBorder="1" applyAlignment="1">
      <alignment horizontal="center" vertical="center"/>
    </xf>
    <xf numFmtId="0" fontId="0" fillId="15" borderId="122" xfId="0" applyFill="1" applyBorder="1" applyAlignment="1">
      <alignment horizontal="center" vertical="center"/>
    </xf>
    <xf numFmtId="0" fontId="0" fillId="15" borderId="123" xfId="0" applyFill="1" applyBorder="1" applyAlignment="1">
      <alignment horizontal="center" vertical="center"/>
    </xf>
    <xf numFmtId="0" fontId="0" fillId="15" borderId="124" xfId="0" applyFill="1" applyBorder="1" applyAlignment="1">
      <alignment horizontal="center" vertical="center"/>
    </xf>
    <xf numFmtId="9" fontId="0" fillId="15" borderId="126" xfId="0" applyNumberFormat="1" applyFill="1" applyBorder="1" applyAlignment="1">
      <alignment horizontal="center" vertical="center"/>
    </xf>
    <xf numFmtId="9" fontId="0" fillId="15" borderId="131" xfId="0" applyNumberFormat="1" applyFill="1" applyBorder="1" applyAlignment="1">
      <alignment horizontal="center" vertical="center"/>
    </xf>
    <xf numFmtId="9" fontId="0" fillId="15" borderId="161" xfId="0" applyNumberFormat="1" applyFill="1" applyBorder="1" applyAlignment="1">
      <alignment horizontal="center" vertical="center"/>
    </xf>
    <xf numFmtId="178" fontId="0" fillId="15" borderId="122" xfId="0" applyNumberFormat="1" applyFill="1" applyBorder="1" applyAlignment="1">
      <alignment horizontal="center" vertical="center"/>
    </xf>
    <xf numFmtId="0" fontId="0" fillId="15" borderId="126" xfId="0" applyFill="1" applyBorder="1" applyAlignment="1">
      <alignment horizontal="center" vertical="center"/>
    </xf>
    <xf numFmtId="0" fontId="0" fillId="15" borderId="131" xfId="0" applyFill="1" applyBorder="1" applyAlignment="1">
      <alignment horizontal="center" vertical="center"/>
    </xf>
    <xf numFmtId="0" fontId="0" fillId="15" borderId="161" xfId="0" applyFill="1" applyBorder="1" applyAlignment="1">
      <alignment horizontal="center" vertical="center"/>
    </xf>
    <xf numFmtId="0" fontId="0" fillId="19" borderId="124" xfId="0" applyFill="1" applyBorder="1" applyAlignment="1">
      <alignment horizontal="center" vertical="center"/>
    </xf>
    <xf numFmtId="178" fontId="0" fillId="19" borderId="126" xfId="0" applyNumberFormat="1" applyFill="1" applyBorder="1" applyAlignment="1">
      <alignment horizontal="center" vertical="center"/>
    </xf>
    <xf numFmtId="0" fontId="0" fillId="19" borderId="131" xfId="0" applyFill="1" applyBorder="1" applyAlignment="1">
      <alignment horizontal="center" vertical="center"/>
    </xf>
    <xf numFmtId="0" fontId="0" fillId="19" borderId="161" xfId="0" applyFill="1" applyBorder="1" applyAlignment="1">
      <alignment horizontal="center" vertical="center"/>
    </xf>
    <xf numFmtId="0" fontId="0" fillId="19" borderId="122" xfId="0" applyFill="1" applyBorder="1" applyAlignment="1">
      <alignment horizontal="center" vertical="center"/>
    </xf>
    <xf numFmtId="0" fontId="6" fillId="0" borderId="122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20" borderId="45" xfId="0" applyFont="1" applyFill="1" applyBorder="1" applyAlignment="1">
      <alignment horizontal="center"/>
    </xf>
    <xf numFmtId="0" fontId="2" fillId="20" borderId="36" xfId="0" applyFont="1" applyFill="1" applyBorder="1" applyAlignment="1">
      <alignment horizontal="center"/>
    </xf>
    <xf numFmtId="0" fontId="2" fillId="11" borderId="26" xfId="0" applyFont="1" applyFill="1" applyBorder="1" applyAlignment="1">
      <alignment horizontal="center"/>
    </xf>
    <xf numFmtId="0" fontId="2" fillId="11" borderId="45" xfId="0" applyFont="1" applyFill="1" applyBorder="1" applyAlignment="1">
      <alignment horizontal="center"/>
    </xf>
    <xf numFmtId="0" fontId="2" fillId="11" borderId="36" xfId="0" applyFont="1" applyFill="1" applyBorder="1" applyAlignment="1">
      <alignment horizontal="center"/>
    </xf>
    <xf numFmtId="0" fontId="2" fillId="19" borderId="26" xfId="0" applyFont="1" applyFill="1" applyBorder="1" applyAlignment="1">
      <alignment horizontal="center"/>
    </xf>
    <xf numFmtId="0" fontId="2" fillId="19" borderId="45" xfId="0" applyFont="1" applyFill="1" applyBorder="1" applyAlignment="1">
      <alignment horizontal="center"/>
    </xf>
    <xf numFmtId="0" fontId="2" fillId="19" borderId="36" xfId="0" applyFont="1" applyFill="1" applyBorder="1" applyAlignment="1">
      <alignment horizontal="center"/>
    </xf>
    <xf numFmtId="0" fontId="2" fillId="17" borderId="55" xfId="0" applyFont="1" applyFill="1" applyBorder="1" applyAlignment="1">
      <alignment horizontal="center"/>
    </xf>
    <xf numFmtId="0" fontId="2" fillId="17" borderId="59" xfId="0" applyFont="1" applyFill="1" applyBorder="1" applyAlignment="1">
      <alignment horizontal="center"/>
    </xf>
    <xf numFmtId="0" fontId="2" fillId="17" borderId="34" xfId="0" applyFont="1" applyFill="1" applyBorder="1" applyAlignment="1">
      <alignment horizontal="center"/>
    </xf>
    <xf numFmtId="0" fontId="2" fillId="17" borderId="60" xfId="0" applyFont="1" applyFill="1" applyBorder="1" applyAlignment="1">
      <alignment horizontal="center"/>
    </xf>
    <xf numFmtId="0" fontId="2" fillId="17" borderId="26" xfId="0" applyFont="1" applyFill="1" applyBorder="1" applyAlignment="1">
      <alignment horizontal="center" vertical="center"/>
    </xf>
    <xf numFmtId="0" fontId="2" fillId="17" borderId="45" xfId="0" applyFont="1" applyFill="1" applyBorder="1" applyAlignment="1">
      <alignment horizontal="center" vertical="center"/>
    </xf>
    <xf numFmtId="0" fontId="2" fillId="17" borderId="36" xfId="0" applyFont="1" applyFill="1" applyBorder="1" applyAlignment="1">
      <alignment horizontal="center" vertical="center"/>
    </xf>
    <xf numFmtId="178" fontId="2" fillId="0" borderId="122" xfId="0" applyNumberFormat="1" applyFont="1" applyBorder="1"/>
    <xf numFmtId="0" fontId="2" fillId="0" borderId="185" xfId="0" applyFont="1" applyBorder="1"/>
    <xf numFmtId="178" fontId="0" fillId="17" borderId="123" xfId="0" applyNumberFormat="1" applyFill="1" applyBorder="1" applyAlignment="1">
      <alignment horizontal="center" vertical="center"/>
    </xf>
    <xf numFmtId="178" fontId="0" fillId="17" borderId="124" xfId="0" applyNumberFormat="1" applyFill="1" applyBorder="1" applyAlignment="1">
      <alignment horizontal="center" vertical="center"/>
    </xf>
    <xf numFmtId="1" fontId="0" fillId="17" borderId="122" xfId="0" applyNumberFormat="1" applyFill="1" applyBorder="1" applyAlignment="1">
      <alignment horizontal="center" vertical="center"/>
    </xf>
    <xf numFmtId="1" fontId="0" fillId="17" borderId="123" xfId="0" applyNumberFormat="1" applyFill="1" applyBorder="1" applyAlignment="1">
      <alignment horizontal="center" vertical="center"/>
    </xf>
    <xf numFmtId="1" fontId="0" fillId="17" borderId="124" xfId="0" applyNumberFormat="1" applyFill="1" applyBorder="1" applyAlignment="1">
      <alignment horizontal="center" vertical="center"/>
    </xf>
  </cellXfs>
  <cellStyles count="4">
    <cellStyle name="Hipervínculo" xfId="2" builtinId="8"/>
    <cellStyle name="Moneda" xfId="3" builtinId="4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ontrolberlin@gmail.com" TargetMode="External"/><Relationship Id="rId2" Type="http://schemas.openxmlformats.org/officeDocument/2006/relationships/hyperlink" Target="mailto:practicante2@culturetouringberlin.com" TargetMode="External"/><Relationship Id="rId1" Type="http://schemas.openxmlformats.org/officeDocument/2006/relationships/hyperlink" Target="mailto:practicante1@culturetouringberlin.com" TargetMode="External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3"/>
  <sheetViews>
    <sheetView topLeftCell="A279" workbookViewId="0">
      <selection activeCell="L296" sqref="L296"/>
    </sheetView>
  </sheetViews>
  <sheetFormatPr defaultColWidth="10.7109375" defaultRowHeight="14.45"/>
  <cols>
    <col min="1" max="1" width="12.28515625" customWidth="1"/>
    <col min="2" max="2" width="8.85546875" customWidth="1"/>
    <col min="3" max="3" width="9.28515625" customWidth="1"/>
    <col min="4" max="4" width="6.28515625" customWidth="1"/>
    <col min="5" max="5" width="9.140625" customWidth="1"/>
    <col min="6" max="6" width="9.5703125" customWidth="1"/>
    <col min="7" max="7" width="8.42578125" customWidth="1"/>
    <col min="8" max="8" width="10.28515625" customWidth="1"/>
    <col min="9" max="9" width="8.28515625" customWidth="1"/>
    <col min="10" max="10" width="9.5703125" customWidth="1"/>
    <col min="11" max="11" width="9" style="2" customWidth="1"/>
    <col min="12" max="12" width="11.85546875" style="2" customWidth="1"/>
    <col min="13" max="13" width="10.28515625" customWidth="1"/>
    <col min="14" max="14" width="10.7109375" customWidth="1"/>
    <col min="15" max="15" width="8.85546875" customWidth="1"/>
    <col min="16" max="16" width="8.5703125" customWidth="1"/>
    <col min="17" max="17" width="11.5703125" customWidth="1"/>
    <col min="18" max="18" width="12.7109375" customWidth="1"/>
    <col min="19" max="19" width="22.85546875" customWidth="1"/>
  </cols>
  <sheetData>
    <row r="1" spans="1:19" ht="15" thickBot="1">
      <c r="M1" s="2"/>
      <c r="R1" s="88"/>
      <c r="S1" s="88" t="s">
        <v>0</v>
      </c>
    </row>
    <row r="2" spans="1:19" ht="15.75" customHeight="1" thickBot="1">
      <c r="B2" s="929" t="s">
        <v>1</v>
      </c>
      <c r="C2" s="930"/>
      <c r="D2" s="930"/>
      <c r="E2" s="930"/>
      <c r="F2" s="930"/>
      <c r="G2" s="930"/>
      <c r="H2" s="930"/>
      <c r="I2" s="930"/>
      <c r="J2" s="930"/>
      <c r="K2" s="930"/>
      <c r="L2" s="931"/>
      <c r="M2" s="929" t="s">
        <v>2</v>
      </c>
      <c r="N2" s="930"/>
      <c r="O2" s="930"/>
      <c r="P2" s="931"/>
      <c r="Q2" s="126"/>
    </row>
    <row r="3" spans="1:19" ht="15.75" customHeight="1" thickBot="1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3" t="s">
        <v>12</v>
      </c>
      <c r="L3" s="3" t="s">
        <v>13</v>
      </c>
      <c r="M3" s="65" t="s">
        <v>12</v>
      </c>
      <c r="N3" s="3" t="s">
        <v>14</v>
      </c>
      <c r="O3" s="1" t="s">
        <v>15</v>
      </c>
      <c r="P3" s="1" t="s">
        <v>16</v>
      </c>
      <c r="Q3" s="126" t="s">
        <v>17</v>
      </c>
      <c r="R3" s="956" t="s">
        <v>18</v>
      </c>
    </row>
    <row r="4" spans="1:19" ht="15.75" customHeight="1" thickBot="1">
      <c r="A4" s="946" t="s">
        <v>19</v>
      </c>
      <c r="B4" s="12" t="s">
        <v>20</v>
      </c>
      <c r="C4" s="25" t="s">
        <v>21</v>
      </c>
      <c r="D4" s="47"/>
      <c r="E4" s="47"/>
      <c r="F4" s="47"/>
      <c r="G4" s="47"/>
      <c r="H4" s="279"/>
      <c r="I4" s="279"/>
      <c r="J4" s="279"/>
      <c r="K4" s="92"/>
      <c r="L4" s="105"/>
      <c r="M4" s="935">
        <f>SUM(K4:K10)</f>
        <v>138</v>
      </c>
      <c r="N4" s="938">
        <f>P4/M4</f>
        <v>0.71014492753623193</v>
      </c>
      <c r="O4" s="941">
        <f>4</f>
        <v>4</v>
      </c>
      <c r="P4" s="902">
        <f>SUM(G4:G10)</f>
        <v>98</v>
      </c>
      <c r="Q4" s="127"/>
      <c r="R4" s="957"/>
    </row>
    <row r="5" spans="1:19" ht="15" customHeight="1" thickBot="1">
      <c r="A5" s="947"/>
      <c r="B5" s="50" t="s">
        <v>22</v>
      </c>
      <c r="C5" s="51" t="s">
        <v>23</v>
      </c>
      <c r="D5" s="36" t="s">
        <v>24</v>
      </c>
      <c r="E5" s="36" t="s">
        <v>25</v>
      </c>
      <c r="F5" s="36" t="s">
        <v>26</v>
      </c>
      <c r="G5" s="36">
        <v>36</v>
      </c>
      <c r="H5" s="278">
        <f>J5-(2.5*G5)</f>
        <v>260</v>
      </c>
      <c r="I5" s="278">
        <v>90</v>
      </c>
      <c r="J5" s="278">
        <f>350</f>
        <v>350</v>
      </c>
      <c r="K5" s="79">
        <f>40</f>
        <v>40</v>
      </c>
      <c r="L5" s="106">
        <f>J5/G5</f>
        <v>9.7222222222222214</v>
      </c>
      <c r="M5" s="936"/>
      <c r="N5" s="939"/>
      <c r="O5" s="942"/>
      <c r="P5" s="903"/>
      <c r="Q5" s="127" t="s">
        <v>27</v>
      </c>
      <c r="R5" s="957"/>
    </row>
    <row r="6" spans="1:19" ht="15" customHeight="1" thickBot="1">
      <c r="A6" s="947"/>
      <c r="B6" s="13" t="s">
        <v>28</v>
      </c>
      <c r="C6" s="26" t="s">
        <v>29</v>
      </c>
      <c r="D6" s="24"/>
      <c r="E6" s="24"/>
      <c r="F6" s="24"/>
      <c r="G6" s="24"/>
      <c r="H6" s="280"/>
      <c r="I6" s="280"/>
      <c r="J6" s="280"/>
      <c r="K6" s="80"/>
      <c r="L6" s="105"/>
      <c r="M6" s="936"/>
      <c r="N6" s="939"/>
      <c r="O6" s="942"/>
      <c r="P6" s="903"/>
      <c r="Q6" s="127"/>
      <c r="R6" s="957"/>
    </row>
    <row r="7" spans="1:19" ht="15" customHeight="1" thickBot="1">
      <c r="A7" s="947"/>
      <c r="B7" s="7" t="s">
        <v>30</v>
      </c>
      <c r="C7" s="28" t="s">
        <v>31</v>
      </c>
      <c r="D7" s="36" t="s">
        <v>24</v>
      </c>
      <c r="E7" s="36" t="s">
        <v>32</v>
      </c>
      <c r="F7" s="36" t="s">
        <v>33</v>
      </c>
      <c r="G7" s="36">
        <v>15</v>
      </c>
      <c r="H7" s="278">
        <f>160</f>
        <v>160</v>
      </c>
      <c r="I7" s="278">
        <f>0</f>
        <v>0</v>
      </c>
      <c r="J7" s="278">
        <f>160</f>
        <v>160</v>
      </c>
      <c r="K7" s="79">
        <f>23</f>
        <v>23</v>
      </c>
      <c r="L7" s="106">
        <f t="shared" ref="L7:L51" si="0">J7/G7</f>
        <v>10.666666666666666</v>
      </c>
      <c r="M7" s="936"/>
      <c r="N7" s="939"/>
      <c r="O7" s="942"/>
      <c r="P7" s="903"/>
      <c r="Q7" s="127" t="s">
        <v>34</v>
      </c>
      <c r="R7" s="957"/>
    </row>
    <row r="8" spans="1:19" ht="15" customHeight="1" thickBot="1">
      <c r="A8" s="947"/>
      <c r="B8" s="5" t="s">
        <v>35</v>
      </c>
      <c r="C8" s="27" t="s">
        <v>36</v>
      </c>
      <c r="D8" s="24"/>
      <c r="E8" s="24"/>
      <c r="F8" s="24"/>
      <c r="G8" s="24"/>
      <c r="H8" s="280"/>
      <c r="I8" s="280"/>
      <c r="J8" s="280"/>
      <c r="K8" s="80"/>
      <c r="L8" s="105"/>
      <c r="M8" s="936"/>
      <c r="N8" s="939"/>
      <c r="O8" s="942"/>
      <c r="P8" s="903"/>
      <c r="Q8" s="127"/>
      <c r="R8" s="957"/>
    </row>
    <row r="9" spans="1:19" ht="15" customHeight="1" thickBot="1">
      <c r="A9" s="947"/>
      <c r="B9" s="7" t="s">
        <v>37</v>
      </c>
      <c r="C9" s="28" t="s">
        <v>38</v>
      </c>
      <c r="D9" s="36" t="s">
        <v>24</v>
      </c>
      <c r="E9" s="36" t="s">
        <v>25</v>
      </c>
      <c r="F9" s="36" t="s">
        <v>26</v>
      </c>
      <c r="G9" s="36">
        <v>26</v>
      </c>
      <c r="H9" s="278">
        <v>190</v>
      </c>
      <c r="I9" s="278">
        <v>65</v>
      </c>
      <c r="J9" s="278">
        <f>255</f>
        <v>255</v>
      </c>
      <c r="K9" s="79">
        <f>50</f>
        <v>50</v>
      </c>
      <c r="L9" s="106">
        <f t="shared" si="0"/>
        <v>9.8076923076923084</v>
      </c>
      <c r="M9" s="936"/>
      <c r="N9" s="939"/>
      <c r="O9" s="942"/>
      <c r="P9" s="903"/>
      <c r="Q9" s="127" t="s">
        <v>39</v>
      </c>
      <c r="R9" s="957"/>
    </row>
    <row r="10" spans="1:19" ht="15.75" customHeight="1" thickBot="1">
      <c r="A10" s="948"/>
      <c r="B10" s="8" t="s">
        <v>40</v>
      </c>
      <c r="C10" s="29" t="s">
        <v>41</v>
      </c>
      <c r="D10" s="41" t="s">
        <v>24</v>
      </c>
      <c r="E10" s="41" t="s">
        <v>25</v>
      </c>
      <c r="F10" s="41" t="s">
        <v>26</v>
      </c>
      <c r="G10" s="41">
        <v>21</v>
      </c>
      <c r="H10" s="281">
        <v>195.5</v>
      </c>
      <c r="I10" s="281">
        <v>52.5</v>
      </c>
      <c r="J10" s="281">
        <f>248</f>
        <v>248</v>
      </c>
      <c r="K10" s="86">
        <f>25</f>
        <v>25</v>
      </c>
      <c r="L10" s="106">
        <f t="shared" si="0"/>
        <v>11.80952380952381</v>
      </c>
      <c r="M10" s="937"/>
      <c r="N10" s="940"/>
      <c r="O10" s="943"/>
      <c r="P10" s="907"/>
      <c r="Q10" s="127" t="s">
        <v>39</v>
      </c>
      <c r="R10" s="957"/>
    </row>
    <row r="11" spans="1:19" ht="15.75" customHeight="1" thickBot="1">
      <c r="A11" s="949" t="s">
        <v>42</v>
      </c>
      <c r="B11" s="97" t="s">
        <v>43</v>
      </c>
      <c r="C11" s="98" t="s">
        <v>44</v>
      </c>
      <c r="D11" s="47"/>
      <c r="E11" s="47"/>
      <c r="F11" s="47"/>
      <c r="G11" s="47"/>
      <c r="H11" s="279"/>
      <c r="I11" s="279"/>
      <c r="J11" s="279"/>
      <c r="K11" s="92"/>
      <c r="L11" s="105"/>
      <c r="M11" s="936">
        <f>SUM(K11:K17)</f>
        <v>68</v>
      </c>
      <c r="N11" s="939">
        <f>P11/M11</f>
        <v>0.66176470588235292</v>
      </c>
      <c r="O11" s="903">
        <f>2</f>
        <v>2</v>
      </c>
      <c r="P11" s="903">
        <f>G16+G17</f>
        <v>45</v>
      </c>
      <c r="Q11" s="127"/>
      <c r="R11" s="957"/>
    </row>
    <row r="12" spans="1:19" ht="15.75" customHeight="1" thickBot="1">
      <c r="A12" s="950"/>
      <c r="B12" s="4" t="s">
        <v>45</v>
      </c>
      <c r="C12" s="21" t="s">
        <v>23</v>
      </c>
      <c r="D12" s="24"/>
      <c r="E12" s="24"/>
      <c r="F12" s="24"/>
      <c r="G12" s="24"/>
      <c r="H12" s="280"/>
      <c r="I12" s="280"/>
      <c r="J12" s="280"/>
      <c r="K12" s="80"/>
      <c r="L12" s="105"/>
      <c r="M12" s="936"/>
      <c r="N12" s="939"/>
      <c r="O12" s="903"/>
      <c r="P12" s="903"/>
      <c r="Q12" s="127"/>
      <c r="R12" s="957"/>
    </row>
    <row r="13" spans="1:19" ht="15" customHeight="1" thickBot="1">
      <c r="A13" s="950"/>
      <c r="B13" s="15" t="s">
        <v>46</v>
      </c>
      <c r="C13" s="30" t="s">
        <v>29</v>
      </c>
      <c r="D13" s="37" t="s">
        <v>47</v>
      </c>
      <c r="E13" s="37" t="s">
        <v>48</v>
      </c>
      <c r="F13" s="37"/>
      <c r="G13" s="37"/>
      <c r="H13" s="282"/>
      <c r="I13" s="282"/>
      <c r="J13" s="282"/>
      <c r="K13" s="93"/>
      <c r="L13" s="105"/>
      <c r="M13" s="936"/>
      <c r="N13" s="939"/>
      <c r="O13" s="903"/>
      <c r="P13" s="903"/>
      <c r="Q13" s="127"/>
      <c r="R13" s="957"/>
    </row>
    <row r="14" spans="1:19" ht="15" customHeight="1" thickBot="1">
      <c r="A14" s="950"/>
      <c r="B14" s="13" t="s">
        <v>49</v>
      </c>
      <c r="C14" s="26" t="s">
        <v>50</v>
      </c>
      <c r="D14" s="24"/>
      <c r="E14" s="24"/>
      <c r="F14" s="24"/>
      <c r="G14" s="24"/>
      <c r="H14" s="280"/>
      <c r="I14" s="280"/>
      <c r="J14" s="280"/>
      <c r="K14" s="80"/>
      <c r="L14" s="105"/>
      <c r="M14" s="936"/>
      <c r="N14" s="939"/>
      <c r="O14" s="903"/>
      <c r="P14" s="903"/>
      <c r="Q14" s="127"/>
      <c r="R14" s="957"/>
    </row>
    <row r="15" spans="1:19" ht="15" customHeight="1" thickBot="1">
      <c r="A15" s="950"/>
      <c r="B15" s="16" t="s">
        <v>51</v>
      </c>
      <c r="C15" s="31" t="s">
        <v>36</v>
      </c>
      <c r="D15" s="37" t="s">
        <v>47</v>
      </c>
      <c r="E15" s="37" t="s">
        <v>48</v>
      </c>
      <c r="F15" s="37"/>
      <c r="G15" s="37"/>
      <c r="H15" s="282"/>
      <c r="I15" s="282"/>
      <c r="J15" s="282"/>
      <c r="K15" s="93"/>
      <c r="L15" s="105"/>
      <c r="M15" s="936"/>
      <c r="N15" s="939"/>
      <c r="O15" s="903"/>
      <c r="P15" s="903"/>
      <c r="Q15" s="127"/>
      <c r="R15" s="957"/>
    </row>
    <row r="16" spans="1:19" ht="15" customHeight="1" thickBot="1">
      <c r="A16" s="950"/>
      <c r="B16" s="7" t="s">
        <v>52</v>
      </c>
      <c r="C16" s="28" t="s">
        <v>38</v>
      </c>
      <c r="D16" s="36" t="s">
        <v>24</v>
      </c>
      <c r="E16" s="36" t="s">
        <v>25</v>
      </c>
      <c r="F16" s="36" t="s">
        <v>26</v>
      </c>
      <c r="G16" s="36">
        <v>28</v>
      </c>
      <c r="H16" s="278">
        <f>J16-(2.5*G16)</f>
        <v>225</v>
      </c>
      <c r="I16" s="278">
        <f>70</f>
        <v>70</v>
      </c>
      <c r="J16" s="278">
        <f>295</f>
        <v>295</v>
      </c>
      <c r="K16" s="79">
        <f>38</f>
        <v>38</v>
      </c>
      <c r="L16" s="106">
        <f t="shared" si="0"/>
        <v>10.535714285714286</v>
      </c>
      <c r="M16" s="936"/>
      <c r="N16" s="939"/>
      <c r="O16" s="903"/>
      <c r="P16" s="903"/>
      <c r="Q16" s="127" t="s">
        <v>39</v>
      </c>
      <c r="R16" s="957"/>
    </row>
    <row r="17" spans="1:18" ht="15.75" customHeight="1" thickBot="1">
      <c r="A17" s="950"/>
      <c r="B17" s="17" t="s">
        <v>53</v>
      </c>
      <c r="C17" s="32" t="s">
        <v>41</v>
      </c>
      <c r="D17" s="39" t="s">
        <v>24</v>
      </c>
      <c r="E17" s="39" t="s">
        <v>25</v>
      </c>
      <c r="F17" s="39" t="s">
        <v>26</v>
      </c>
      <c r="G17" s="39">
        <v>17</v>
      </c>
      <c r="H17" s="283">
        <f>92.5</f>
        <v>92.5</v>
      </c>
      <c r="I17" s="283">
        <v>42.5</v>
      </c>
      <c r="J17" s="283">
        <f>135</f>
        <v>135</v>
      </c>
      <c r="K17" s="91">
        <f>30</f>
        <v>30</v>
      </c>
      <c r="L17" s="106">
        <f t="shared" si="0"/>
        <v>7.9411764705882355</v>
      </c>
      <c r="M17" s="936"/>
      <c r="N17" s="939"/>
      <c r="O17" s="903"/>
      <c r="P17" s="903"/>
      <c r="Q17" s="127" t="s">
        <v>39</v>
      </c>
      <c r="R17" s="957"/>
    </row>
    <row r="18" spans="1:18" ht="15" customHeight="1" thickBot="1">
      <c r="A18" s="953" t="s">
        <v>54</v>
      </c>
      <c r="B18" s="11" t="s">
        <v>55</v>
      </c>
      <c r="C18" s="33" t="s">
        <v>44</v>
      </c>
      <c r="D18" s="38"/>
      <c r="E18" s="38"/>
      <c r="F18" s="38"/>
      <c r="G18" s="38"/>
      <c r="H18" s="284"/>
      <c r="I18" s="284"/>
      <c r="J18" s="284"/>
      <c r="K18" s="78">
        <f>0</f>
        <v>0</v>
      </c>
      <c r="L18" s="105"/>
      <c r="M18" s="935">
        <f>SUM(K18:K25)</f>
        <v>121</v>
      </c>
      <c r="N18" s="938">
        <f>P18/M18</f>
        <v>0.84297520661157022</v>
      </c>
      <c r="O18" s="902">
        <f>4</f>
        <v>4</v>
      </c>
      <c r="P18" s="902">
        <f>SUM(G18:G25)</f>
        <v>102</v>
      </c>
      <c r="Q18" s="127"/>
      <c r="R18" s="957"/>
    </row>
    <row r="19" spans="1:18" ht="15" customHeight="1" thickBot="1">
      <c r="A19" s="954"/>
      <c r="B19" s="7" t="s">
        <v>56</v>
      </c>
      <c r="C19" s="28" t="s">
        <v>23</v>
      </c>
      <c r="D19" s="36" t="s">
        <v>24</v>
      </c>
      <c r="E19" s="36" t="s">
        <v>25</v>
      </c>
      <c r="F19" s="36" t="s">
        <v>26</v>
      </c>
      <c r="G19" s="36">
        <f>8</f>
        <v>8</v>
      </c>
      <c r="H19" s="278">
        <f>70</f>
        <v>70</v>
      </c>
      <c r="I19" s="278">
        <f>20</f>
        <v>20</v>
      </c>
      <c r="J19" s="278">
        <f>90</f>
        <v>90</v>
      </c>
      <c r="K19" s="79">
        <f>15</f>
        <v>15</v>
      </c>
      <c r="L19" s="106">
        <f t="shared" si="0"/>
        <v>11.25</v>
      </c>
      <c r="M19" s="936"/>
      <c r="N19" s="939"/>
      <c r="O19" s="903"/>
      <c r="P19" s="903"/>
      <c r="Q19" s="127" t="s">
        <v>39</v>
      </c>
      <c r="R19" s="957"/>
    </row>
    <row r="20" spans="1:18" ht="15" customHeight="1" thickBot="1">
      <c r="A20" s="954"/>
      <c r="B20" s="16" t="s">
        <v>57</v>
      </c>
      <c r="C20" s="31" t="s">
        <v>29</v>
      </c>
      <c r="D20" s="37" t="s">
        <v>47</v>
      </c>
      <c r="E20" s="37" t="s">
        <v>48</v>
      </c>
      <c r="F20" s="37"/>
      <c r="G20" s="37"/>
      <c r="H20" s="282"/>
      <c r="I20" s="282"/>
      <c r="J20" s="282"/>
      <c r="K20" s="93"/>
      <c r="L20" s="105"/>
      <c r="M20" s="936"/>
      <c r="N20" s="939"/>
      <c r="O20" s="903"/>
      <c r="P20" s="903"/>
      <c r="Q20" s="127"/>
      <c r="R20" s="957"/>
    </row>
    <row r="21" spans="1:18" ht="15" customHeight="1" thickBot="1">
      <c r="A21" s="954"/>
      <c r="B21" s="7" t="s">
        <v>58</v>
      </c>
      <c r="C21" s="28" t="s">
        <v>50</v>
      </c>
      <c r="D21" s="36" t="s">
        <v>24</v>
      </c>
      <c r="E21" s="36" t="s">
        <v>25</v>
      </c>
      <c r="F21" s="36" t="s">
        <v>26</v>
      </c>
      <c r="G21" s="36">
        <f>16</f>
        <v>16</v>
      </c>
      <c r="H21" s="278">
        <f>120</f>
        <v>120</v>
      </c>
      <c r="I21" s="278">
        <f>40</f>
        <v>40</v>
      </c>
      <c r="J21" s="278">
        <f>160</f>
        <v>160</v>
      </c>
      <c r="K21" s="79">
        <f>18</f>
        <v>18</v>
      </c>
      <c r="L21" s="106">
        <f t="shared" si="0"/>
        <v>10</v>
      </c>
      <c r="M21" s="936"/>
      <c r="N21" s="939"/>
      <c r="O21" s="903"/>
      <c r="P21" s="903"/>
      <c r="Q21" s="127" t="s">
        <v>39</v>
      </c>
      <c r="R21" s="957"/>
    </row>
    <row r="22" spans="1:18" ht="15" customHeight="1" thickBot="1">
      <c r="A22" s="954"/>
      <c r="B22" s="9" t="s">
        <v>59</v>
      </c>
      <c r="C22" s="34" t="s">
        <v>36</v>
      </c>
      <c r="D22" s="23"/>
      <c r="E22" s="23"/>
      <c r="F22" s="23"/>
      <c r="G22" s="23"/>
      <c r="H22" s="285"/>
      <c r="I22" s="285"/>
      <c r="J22" s="285"/>
      <c r="K22" s="80"/>
      <c r="L22" s="105"/>
      <c r="M22" s="936"/>
      <c r="N22" s="939"/>
      <c r="O22" s="903"/>
      <c r="P22" s="903"/>
      <c r="Q22" s="127"/>
      <c r="R22" s="957"/>
    </row>
    <row r="23" spans="1:18" ht="15" customHeight="1" thickBot="1">
      <c r="A23" s="954"/>
      <c r="B23" s="7" t="s">
        <v>60</v>
      </c>
      <c r="C23" s="28" t="s">
        <v>38</v>
      </c>
      <c r="D23" s="36" t="s">
        <v>24</v>
      </c>
      <c r="E23" s="36" t="s">
        <v>25</v>
      </c>
      <c r="F23" s="36" t="s">
        <v>26</v>
      </c>
      <c r="G23" s="36">
        <f>49</f>
        <v>49</v>
      </c>
      <c r="H23" s="278">
        <f>285</f>
        <v>285</v>
      </c>
      <c r="I23" s="278">
        <f>107.5</f>
        <v>107.5</v>
      </c>
      <c r="J23" s="278">
        <f>392.5</f>
        <v>392.5</v>
      </c>
      <c r="K23" s="79">
        <f>50</f>
        <v>50</v>
      </c>
      <c r="L23" s="106">
        <f t="shared" si="0"/>
        <v>8.0102040816326525</v>
      </c>
      <c r="M23" s="936"/>
      <c r="N23" s="939"/>
      <c r="O23" s="903"/>
      <c r="P23" s="903"/>
      <c r="Q23" s="127" t="s">
        <v>39</v>
      </c>
      <c r="R23" s="957"/>
    </row>
    <row r="24" spans="1:18" ht="15" customHeight="1" thickBot="1">
      <c r="A24" s="954"/>
      <c r="B24" s="7" t="s">
        <v>61</v>
      </c>
      <c r="C24" s="28" t="s">
        <v>41</v>
      </c>
      <c r="D24" s="36" t="s">
        <v>62</v>
      </c>
      <c r="E24" s="36" t="s">
        <v>25</v>
      </c>
      <c r="F24" s="36" t="s">
        <v>33</v>
      </c>
      <c r="G24" s="36">
        <f>29</f>
        <v>29</v>
      </c>
      <c r="H24" s="278">
        <f>142</f>
        <v>142</v>
      </c>
      <c r="I24" s="278">
        <f>65</f>
        <v>65</v>
      </c>
      <c r="J24" s="278">
        <f>207.5</f>
        <v>207.5</v>
      </c>
      <c r="K24" s="79">
        <f>38</f>
        <v>38</v>
      </c>
      <c r="L24" s="106">
        <f t="shared" si="0"/>
        <v>7.1551724137931032</v>
      </c>
      <c r="M24" s="936"/>
      <c r="N24" s="939"/>
      <c r="O24" s="903"/>
      <c r="P24" s="903"/>
      <c r="Q24" s="127" t="s">
        <v>39</v>
      </c>
      <c r="R24" s="957"/>
    </row>
    <row r="25" spans="1:18" ht="15.75" customHeight="1" thickBot="1">
      <c r="A25" s="955"/>
      <c r="B25" s="19" t="s">
        <v>61</v>
      </c>
      <c r="C25" s="35" t="s">
        <v>41</v>
      </c>
      <c r="D25" s="40" t="s">
        <v>47</v>
      </c>
      <c r="E25" s="40" t="s">
        <v>25</v>
      </c>
      <c r="F25" s="40"/>
      <c r="G25" s="40"/>
      <c r="H25" s="286"/>
      <c r="I25" s="286"/>
      <c r="J25" s="286"/>
      <c r="K25" s="94"/>
      <c r="L25" s="94"/>
      <c r="M25" s="937"/>
      <c r="N25" s="940"/>
      <c r="O25" s="907"/>
      <c r="P25" s="907"/>
      <c r="Q25" s="127"/>
      <c r="R25" s="957"/>
    </row>
    <row r="26" spans="1:18" ht="15.75" customHeight="1" thickBot="1">
      <c r="A26" s="949" t="s">
        <v>63</v>
      </c>
      <c r="B26" s="14" t="s">
        <v>64</v>
      </c>
      <c r="C26" s="33" t="s">
        <v>44</v>
      </c>
      <c r="D26" s="38"/>
      <c r="E26" s="38"/>
      <c r="F26" s="38"/>
      <c r="G26" s="38"/>
      <c r="H26" s="284"/>
      <c r="I26" s="284"/>
      <c r="J26" s="284"/>
      <c r="K26" s="78"/>
      <c r="L26" s="105"/>
      <c r="M26" s="932">
        <f>SUM(K26:K32)</f>
        <v>98</v>
      </c>
      <c r="N26" s="938">
        <f>P26/M26</f>
        <v>0.8571428571428571</v>
      </c>
      <c r="O26" s="932">
        <f>3</f>
        <v>3</v>
      </c>
      <c r="P26" s="932">
        <f>SUM(G26:G31)</f>
        <v>84</v>
      </c>
      <c r="Q26" s="127"/>
      <c r="R26" s="957"/>
    </row>
    <row r="27" spans="1:18" ht="15.75" customHeight="1" thickBot="1">
      <c r="A27" s="950"/>
      <c r="B27" s="8" t="s">
        <v>65</v>
      </c>
      <c r="C27" s="28" t="s">
        <v>23</v>
      </c>
      <c r="D27" s="36" t="s">
        <v>24</v>
      </c>
      <c r="E27" s="36" t="s">
        <v>25</v>
      </c>
      <c r="F27" s="36" t="s">
        <v>33</v>
      </c>
      <c r="G27" s="36">
        <f>29</f>
        <v>29</v>
      </c>
      <c r="H27" s="278">
        <f>180</f>
        <v>180</v>
      </c>
      <c r="I27" s="278">
        <f>65</f>
        <v>65</v>
      </c>
      <c r="J27" s="278">
        <f>245</f>
        <v>245</v>
      </c>
      <c r="K27" s="79">
        <f>34</f>
        <v>34</v>
      </c>
      <c r="L27" s="106">
        <f t="shared" si="0"/>
        <v>8.4482758620689662</v>
      </c>
      <c r="M27" s="933"/>
      <c r="N27" s="939"/>
      <c r="O27" s="933"/>
      <c r="P27" s="933"/>
      <c r="Q27" s="127" t="s">
        <v>39</v>
      </c>
      <c r="R27" s="957"/>
    </row>
    <row r="28" spans="1:18" ht="15.75" customHeight="1" thickBot="1">
      <c r="A28" s="950"/>
      <c r="B28" s="42" t="s">
        <v>66</v>
      </c>
      <c r="C28" s="43" t="s">
        <v>29</v>
      </c>
      <c r="D28" s="44" t="s">
        <v>47</v>
      </c>
      <c r="E28" s="44" t="s">
        <v>48</v>
      </c>
      <c r="F28" s="44"/>
      <c r="G28" s="44"/>
      <c r="H28" s="287"/>
      <c r="I28" s="287"/>
      <c r="J28" s="287"/>
      <c r="K28" s="89"/>
      <c r="L28" s="89"/>
      <c r="M28" s="933"/>
      <c r="N28" s="939"/>
      <c r="O28" s="933"/>
      <c r="P28" s="933"/>
      <c r="Q28" s="127"/>
      <c r="R28" s="957"/>
    </row>
    <row r="29" spans="1:18" ht="15.75" customHeight="1" thickBot="1">
      <c r="A29" s="950"/>
      <c r="B29" s="8" t="s">
        <v>67</v>
      </c>
      <c r="C29" s="28" t="s">
        <v>50</v>
      </c>
      <c r="D29" s="36" t="s">
        <v>24</v>
      </c>
      <c r="E29" s="36" t="s">
        <v>25</v>
      </c>
      <c r="F29" s="36" t="s">
        <v>33</v>
      </c>
      <c r="G29" s="36">
        <f>19</f>
        <v>19</v>
      </c>
      <c r="H29" s="278">
        <f>108</f>
        <v>108</v>
      </c>
      <c r="I29" s="278">
        <f>47.5</f>
        <v>47.5</v>
      </c>
      <c r="J29" s="278">
        <v>155.5</v>
      </c>
      <c r="K29" s="79">
        <f>24</f>
        <v>24</v>
      </c>
      <c r="L29" s="106">
        <f t="shared" si="0"/>
        <v>8.1842105263157894</v>
      </c>
      <c r="M29" s="933"/>
      <c r="N29" s="939"/>
      <c r="O29" s="933"/>
      <c r="P29" s="933"/>
      <c r="Q29" s="127" t="s">
        <v>39</v>
      </c>
      <c r="R29" s="957"/>
    </row>
    <row r="30" spans="1:18" ht="15.75" customHeight="1" thickBot="1">
      <c r="A30" s="950"/>
      <c r="B30" s="6" t="s">
        <v>68</v>
      </c>
      <c r="C30" s="27" t="s">
        <v>36</v>
      </c>
      <c r="D30" s="23"/>
      <c r="E30" s="23"/>
      <c r="F30" s="23"/>
      <c r="G30" s="23"/>
      <c r="H30" s="285"/>
      <c r="I30" s="285"/>
      <c r="J30" s="285"/>
      <c r="K30" s="80"/>
      <c r="L30" s="105"/>
      <c r="M30" s="933"/>
      <c r="N30" s="939"/>
      <c r="O30" s="933"/>
      <c r="P30" s="933"/>
      <c r="Q30" s="127"/>
      <c r="R30" s="957"/>
    </row>
    <row r="31" spans="1:18" ht="15.75" customHeight="1" thickBot="1">
      <c r="A31" s="950"/>
      <c r="B31" s="8" t="s">
        <v>69</v>
      </c>
      <c r="C31" s="28" t="s">
        <v>38</v>
      </c>
      <c r="D31" s="36" t="s">
        <v>24</v>
      </c>
      <c r="E31" s="36" t="s">
        <v>25</v>
      </c>
      <c r="F31" s="36" t="s">
        <v>26</v>
      </c>
      <c r="G31" s="36">
        <f>36</f>
        <v>36</v>
      </c>
      <c r="H31" s="278">
        <f>270</f>
        <v>270</v>
      </c>
      <c r="I31" s="278">
        <f>90</f>
        <v>90</v>
      </c>
      <c r="J31" s="278">
        <f>360</f>
        <v>360</v>
      </c>
      <c r="K31" s="79">
        <f>40</f>
        <v>40</v>
      </c>
      <c r="L31" s="106">
        <f t="shared" si="0"/>
        <v>10</v>
      </c>
      <c r="M31" s="933"/>
      <c r="N31" s="939"/>
      <c r="O31" s="933"/>
      <c r="P31" s="933"/>
      <c r="Q31" s="127" t="s">
        <v>39</v>
      </c>
      <c r="R31" s="957"/>
    </row>
    <row r="32" spans="1:18" ht="15.75" customHeight="1" thickBot="1">
      <c r="A32" s="952"/>
      <c r="B32" s="14" t="s">
        <v>70</v>
      </c>
      <c r="C32" s="18" t="s">
        <v>41</v>
      </c>
      <c r="D32" s="10"/>
      <c r="E32" s="10"/>
      <c r="F32" s="10"/>
      <c r="G32" s="10"/>
      <c r="H32" s="288"/>
      <c r="I32" s="288"/>
      <c r="J32" s="288"/>
      <c r="K32" s="95"/>
      <c r="L32" s="105"/>
      <c r="M32" s="934"/>
      <c r="N32" s="940"/>
      <c r="O32" s="934"/>
      <c r="P32" s="934"/>
      <c r="Q32" s="127"/>
      <c r="R32" s="957"/>
    </row>
    <row r="33" spans="1:18" ht="15.75" customHeight="1" thickBot="1">
      <c r="A33" s="949" t="s">
        <v>71</v>
      </c>
      <c r="B33" s="14" t="s">
        <v>72</v>
      </c>
      <c r="C33" s="48" t="s">
        <v>44</v>
      </c>
      <c r="D33" s="45"/>
      <c r="E33" s="14"/>
      <c r="F33" s="14"/>
      <c r="G33" s="14"/>
      <c r="H33" s="289"/>
      <c r="I33" s="289"/>
      <c r="J33" s="289"/>
      <c r="K33" s="22"/>
      <c r="L33" s="105"/>
      <c r="M33" s="932">
        <f>SUM(K35:K40)+K34</f>
        <v>80</v>
      </c>
      <c r="N33" s="904">
        <f>P33/M33</f>
        <v>0.95</v>
      </c>
      <c r="O33" s="902">
        <f>4</f>
        <v>4</v>
      </c>
      <c r="P33" s="902">
        <f>SUM(G35:G39)+G34</f>
        <v>76</v>
      </c>
      <c r="Q33" s="127"/>
      <c r="R33" s="957"/>
    </row>
    <row r="34" spans="1:18" ht="15.75" customHeight="1" thickBot="1">
      <c r="A34" s="950"/>
      <c r="B34" s="49" t="s">
        <v>73</v>
      </c>
      <c r="C34" s="49" t="s">
        <v>23</v>
      </c>
      <c r="D34" s="46" t="s">
        <v>24</v>
      </c>
      <c r="E34" s="41" t="s">
        <v>25</v>
      </c>
      <c r="F34" s="41" t="s">
        <v>26</v>
      </c>
      <c r="G34" s="41">
        <f>10</f>
        <v>10</v>
      </c>
      <c r="H34" s="281">
        <v>57.5</v>
      </c>
      <c r="I34" s="281">
        <v>17.5</v>
      </c>
      <c r="J34" s="281">
        <f>75</f>
        <v>75</v>
      </c>
      <c r="K34" s="86">
        <f>12</f>
        <v>12</v>
      </c>
      <c r="L34" s="106">
        <f t="shared" si="0"/>
        <v>7.5</v>
      </c>
      <c r="M34" s="933"/>
      <c r="N34" s="905"/>
      <c r="O34" s="903"/>
      <c r="P34" s="903"/>
      <c r="Q34" s="127" t="s">
        <v>39</v>
      </c>
      <c r="R34" s="958"/>
    </row>
    <row r="35" spans="1:18" ht="16.149999999999999" thickBot="1">
      <c r="A35" s="950"/>
      <c r="B35" s="49" t="s">
        <v>74</v>
      </c>
      <c r="C35" s="69" t="s">
        <v>29</v>
      </c>
      <c r="D35" s="54" t="s">
        <v>24</v>
      </c>
      <c r="E35" s="54" t="s">
        <v>25</v>
      </c>
      <c r="F35" s="54" t="s">
        <v>26</v>
      </c>
      <c r="G35" s="54">
        <f>21</f>
        <v>21</v>
      </c>
      <c r="H35" s="290">
        <f>137.5</f>
        <v>137.5</v>
      </c>
      <c r="I35" s="290">
        <f>47.5</f>
        <v>47.5</v>
      </c>
      <c r="J35" s="290">
        <f>185</f>
        <v>185</v>
      </c>
      <c r="K35" s="96">
        <f>14</f>
        <v>14</v>
      </c>
      <c r="L35" s="106">
        <f t="shared" si="0"/>
        <v>8.8095238095238102</v>
      </c>
      <c r="M35" s="933"/>
      <c r="N35" s="905"/>
      <c r="O35" s="903"/>
      <c r="P35" s="903"/>
      <c r="Q35" s="127" t="s">
        <v>39</v>
      </c>
      <c r="R35" s="959" t="s">
        <v>75</v>
      </c>
    </row>
    <row r="36" spans="1:18" ht="16.149999999999999" thickBot="1">
      <c r="A36" s="950"/>
      <c r="B36" s="49" t="s">
        <v>76</v>
      </c>
      <c r="C36" s="70" t="s">
        <v>50</v>
      </c>
      <c r="D36" s="36" t="s">
        <v>24</v>
      </c>
      <c r="E36" s="36" t="s">
        <v>25</v>
      </c>
      <c r="F36" s="36" t="s">
        <v>33</v>
      </c>
      <c r="G36" s="36">
        <f>14</f>
        <v>14</v>
      </c>
      <c r="H36" s="278">
        <f>115</f>
        <v>115</v>
      </c>
      <c r="I36" s="278">
        <f>35</f>
        <v>35</v>
      </c>
      <c r="J36" s="278">
        <f>150</f>
        <v>150</v>
      </c>
      <c r="K36" s="79">
        <f>19</f>
        <v>19</v>
      </c>
      <c r="L36" s="106">
        <f t="shared" si="0"/>
        <v>10.714285714285714</v>
      </c>
      <c r="M36" s="933"/>
      <c r="N36" s="905"/>
      <c r="O36" s="903"/>
      <c r="P36" s="903"/>
      <c r="Q36" s="127" t="s">
        <v>39</v>
      </c>
      <c r="R36" s="960"/>
    </row>
    <row r="37" spans="1:18" ht="16.149999999999999" thickBot="1">
      <c r="A37" s="950"/>
      <c r="B37" s="14" t="s">
        <v>77</v>
      </c>
      <c r="C37" s="68" t="s">
        <v>36</v>
      </c>
      <c r="D37" s="23"/>
      <c r="E37" s="23"/>
      <c r="F37" s="23"/>
      <c r="G37" s="23"/>
      <c r="H37" s="285"/>
      <c r="I37" s="285"/>
      <c r="J37" s="285"/>
      <c r="K37" s="80"/>
      <c r="L37" s="105"/>
      <c r="M37" s="933"/>
      <c r="N37" s="905"/>
      <c r="O37" s="903"/>
      <c r="P37" s="903"/>
      <c r="Q37" s="127"/>
      <c r="R37" s="960"/>
    </row>
    <row r="38" spans="1:18" ht="16.149999999999999" thickBot="1">
      <c r="A38" s="950"/>
      <c r="B38" s="49" t="s">
        <v>78</v>
      </c>
      <c r="C38" s="70" t="s">
        <v>38</v>
      </c>
      <c r="D38" s="36" t="s">
        <v>24</v>
      </c>
      <c r="E38" s="36" t="s">
        <v>25</v>
      </c>
      <c r="F38" s="36" t="s">
        <v>26</v>
      </c>
      <c r="G38" s="36">
        <f>31</f>
        <v>31</v>
      </c>
      <c r="H38" s="278">
        <f>205</f>
        <v>205</v>
      </c>
      <c r="I38" s="278">
        <f>70</f>
        <v>70</v>
      </c>
      <c r="J38" s="278">
        <f>275</f>
        <v>275</v>
      </c>
      <c r="K38" s="79">
        <f>35</f>
        <v>35</v>
      </c>
      <c r="L38" s="106">
        <f t="shared" si="0"/>
        <v>8.870967741935484</v>
      </c>
      <c r="M38" s="933"/>
      <c r="N38" s="905"/>
      <c r="O38" s="903"/>
      <c r="P38" s="903"/>
      <c r="Q38" s="127" t="s">
        <v>39</v>
      </c>
      <c r="R38" s="960"/>
    </row>
    <row r="39" spans="1:18" ht="16.149999999999999" thickBot="1">
      <c r="A39" s="952"/>
      <c r="B39" s="14" t="s">
        <v>79</v>
      </c>
      <c r="C39" s="101" t="s">
        <v>41</v>
      </c>
      <c r="D39" s="102"/>
      <c r="E39" s="102"/>
      <c r="F39" s="102"/>
      <c r="G39" s="102"/>
      <c r="H39" s="291"/>
      <c r="I39" s="291"/>
      <c r="J39" s="291"/>
      <c r="K39" s="100"/>
      <c r="L39" s="105"/>
      <c r="M39" s="934"/>
      <c r="N39" s="906"/>
      <c r="O39" s="907"/>
      <c r="P39" s="907"/>
      <c r="Q39" s="127"/>
      <c r="R39" s="960"/>
    </row>
    <row r="40" spans="1:18" ht="16.149999999999999" thickBot="1">
      <c r="A40" s="949" t="s">
        <v>80</v>
      </c>
      <c r="B40" s="14" t="s">
        <v>81</v>
      </c>
      <c r="C40" s="71" t="s">
        <v>44</v>
      </c>
      <c r="D40" s="38"/>
      <c r="E40" s="38"/>
      <c r="F40" s="38"/>
      <c r="G40" s="38"/>
      <c r="H40" s="284"/>
      <c r="I40" s="284"/>
      <c r="J40" s="284"/>
      <c r="K40" s="78"/>
      <c r="L40" s="105"/>
      <c r="M40" s="932">
        <f>SUM(G40:G48)</f>
        <v>125</v>
      </c>
      <c r="N40" s="904">
        <f>M40/P40</f>
        <v>0.75301204819277112</v>
      </c>
      <c r="O40" s="902">
        <f>5</f>
        <v>5</v>
      </c>
      <c r="P40" s="902">
        <f>SUM(K40:K48)</f>
        <v>166</v>
      </c>
      <c r="Q40" s="127"/>
      <c r="R40" s="960"/>
    </row>
    <row r="41" spans="1:18" ht="16.149999999999999" thickBot="1">
      <c r="A41" s="950"/>
      <c r="B41" s="49" t="s">
        <v>82</v>
      </c>
      <c r="C41" s="70" t="s">
        <v>23</v>
      </c>
      <c r="D41" s="36" t="s">
        <v>24</v>
      </c>
      <c r="E41" s="36" t="s">
        <v>25</v>
      </c>
      <c r="F41" s="36" t="s">
        <v>33</v>
      </c>
      <c r="G41" s="36">
        <f>13</f>
        <v>13</v>
      </c>
      <c r="H41" s="278">
        <f>80</f>
        <v>80</v>
      </c>
      <c r="I41" s="278">
        <f>30</f>
        <v>30</v>
      </c>
      <c r="J41" s="278">
        <f>110</f>
        <v>110</v>
      </c>
      <c r="K41" s="79">
        <f>35</f>
        <v>35</v>
      </c>
      <c r="L41" s="106">
        <f t="shared" si="0"/>
        <v>8.4615384615384617</v>
      </c>
      <c r="M41" s="933"/>
      <c r="N41" s="905"/>
      <c r="O41" s="903"/>
      <c r="P41" s="903"/>
      <c r="Q41" s="127" t="s">
        <v>39</v>
      </c>
      <c r="R41" s="960"/>
    </row>
    <row r="42" spans="1:18" ht="16.149999999999999" thickBot="1">
      <c r="A42" s="950"/>
      <c r="B42" s="49" t="s">
        <v>83</v>
      </c>
      <c r="C42" s="70" t="s">
        <v>29</v>
      </c>
      <c r="D42" s="36" t="s">
        <v>84</v>
      </c>
      <c r="E42" s="36" t="s">
        <v>85</v>
      </c>
      <c r="F42" s="36" t="s">
        <v>26</v>
      </c>
      <c r="G42" s="36">
        <f>18</f>
        <v>18</v>
      </c>
      <c r="H42" s="278">
        <f>124.2</f>
        <v>124.2</v>
      </c>
      <c r="I42" s="278">
        <f>82.8</f>
        <v>82.8</v>
      </c>
      <c r="J42" s="278">
        <f>207</f>
        <v>207</v>
      </c>
      <c r="K42" s="79">
        <f>20</f>
        <v>20</v>
      </c>
      <c r="L42" s="106">
        <f t="shared" si="0"/>
        <v>11.5</v>
      </c>
      <c r="M42" s="933"/>
      <c r="N42" s="905"/>
      <c r="O42" s="903"/>
      <c r="P42" s="903"/>
      <c r="Q42" s="127" t="s">
        <v>34</v>
      </c>
      <c r="R42" s="960"/>
    </row>
    <row r="43" spans="1:18" ht="16.149999999999999" thickBot="1">
      <c r="A43" s="950"/>
      <c r="B43" s="72" t="s">
        <v>83</v>
      </c>
      <c r="C43" s="82" t="s">
        <v>29</v>
      </c>
      <c r="D43" s="44" t="s">
        <v>47</v>
      </c>
      <c r="E43" s="44" t="s">
        <v>86</v>
      </c>
      <c r="F43" s="44"/>
      <c r="G43" s="44"/>
      <c r="H43" s="287"/>
      <c r="I43" s="287"/>
      <c r="J43" s="287"/>
      <c r="K43" s="89"/>
      <c r="L43" s="44"/>
      <c r="M43" s="933"/>
      <c r="N43" s="905"/>
      <c r="O43" s="903"/>
      <c r="P43" s="903"/>
      <c r="Q43" s="127"/>
      <c r="R43" s="960"/>
    </row>
    <row r="44" spans="1:18" ht="16.149999999999999" thickBot="1">
      <c r="A44" s="950"/>
      <c r="B44" s="14" t="s">
        <v>87</v>
      </c>
      <c r="C44" s="68" t="s">
        <v>31</v>
      </c>
      <c r="D44" s="24"/>
      <c r="E44" s="24"/>
      <c r="F44" s="24"/>
      <c r="G44" s="24"/>
      <c r="H44" s="280"/>
      <c r="I44" s="280"/>
      <c r="J44" s="280"/>
      <c r="K44" s="80"/>
      <c r="L44" s="24"/>
      <c r="M44" s="933"/>
      <c r="N44" s="905"/>
      <c r="O44" s="903"/>
      <c r="P44" s="903"/>
      <c r="Q44" s="127"/>
      <c r="R44" s="960"/>
    </row>
    <row r="45" spans="1:18" ht="16.149999999999999" thickBot="1">
      <c r="A45" s="950"/>
      <c r="B45" s="49" t="s">
        <v>88</v>
      </c>
      <c r="C45" s="70" t="s">
        <v>36</v>
      </c>
      <c r="D45" s="36" t="s">
        <v>24</v>
      </c>
      <c r="E45" s="36" t="s">
        <v>25</v>
      </c>
      <c r="F45" s="36" t="s">
        <v>33</v>
      </c>
      <c r="G45" s="36">
        <f>44</f>
        <v>44</v>
      </c>
      <c r="H45" s="278">
        <f>295</f>
        <v>295</v>
      </c>
      <c r="I45" s="278">
        <f>95</f>
        <v>95</v>
      </c>
      <c r="J45" s="278">
        <f>390</f>
        <v>390</v>
      </c>
      <c r="K45" s="79">
        <f>45</f>
        <v>45</v>
      </c>
      <c r="L45" s="106">
        <f t="shared" si="0"/>
        <v>8.8636363636363633</v>
      </c>
      <c r="M45" s="933"/>
      <c r="N45" s="905"/>
      <c r="O45" s="903"/>
      <c r="P45" s="903"/>
      <c r="Q45" s="127" t="s">
        <v>39</v>
      </c>
      <c r="R45" s="960"/>
    </row>
    <row r="46" spans="1:18" ht="16.149999999999999" thickBot="1">
      <c r="A46" s="950"/>
      <c r="B46" s="49" t="s">
        <v>89</v>
      </c>
      <c r="C46" s="74" t="s">
        <v>90</v>
      </c>
      <c r="D46" s="39" t="s">
        <v>62</v>
      </c>
      <c r="E46" s="39" t="s">
        <v>25</v>
      </c>
      <c r="F46" s="39" t="s">
        <v>33</v>
      </c>
      <c r="G46" s="39">
        <f>30</f>
        <v>30</v>
      </c>
      <c r="H46" s="283">
        <f>254</f>
        <v>254</v>
      </c>
      <c r="I46" s="283">
        <f>70</f>
        <v>70</v>
      </c>
      <c r="J46" s="283">
        <f>324</f>
        <v>324</v>
      </c>
      <c r="K46" s="91">
        <f>35</f>
        <v>35</v>
      </c>
      <c r="L46" s="106">
        <f t="shared" si="0"/>
        <v>10.8</v>
      </c>
      <c r="M46" s="933"/>
      <c r="N46" s="905"/>
      <c r="O46" s="903"/>
      <c r="P46" s="903"/>
      <c r="Q46" s="127" t="s">
        <v>39</v>
      </c>
      <c r="R46" s="960"/>
    </row>
    <row r="47" spans="1:18" ht="16.149999999999999" thickBot="1">
      <c r="A47" s="950"/>
      <c r="B47" s="72" t="s">
        <v>89</v>
      </c>
      <c r="C47" s="82" t="s">
        <v>38</v>
      </c>
      <c r="D47" s="44" t="s">
        <v>24</v>
      </c>
      <c r="E47" s="44" t="s">
        <v>91</v>
      </c>
      <c r="F47" s="77"/>
      <c r="G47" s="77" t="s">
        <v>92</v>
      </c>
      <c r="H47" s="287" t="s">
        <v>92</v>
      </c>
      <c r="I47" s="287"/>
      <c r="J47" s="287"/>
      <c r="K47" s="89"/>
      <c r="L47" s="44"/>
      <c r="M47" s="933"/>
      <c r="N47" s="905"/>
      <c r="O47" s="903"/>
      <c r="P47" s="903"/>
      <c r="Q47" s="127"/>
      <c r="R47" s="960"/>
    </row>
    <row r="48" spans="1:18" ht="16.149999999999999" thickBot="1">
      <c r="A48" s="950"/>
      <c r="B48" s="107" t="s">
        <v>93</v>
      </c>
      <c r="C48" s="74" t="s">
        <v>41</v>
      </c>
      <c r="D48" s="39" t="s">
        <v>24</v>
      </c>
      <c r="E48" s="39" t="s">
        <v>25</v>
      </c>
      <c r="F48" s="39" t="s">
        <v>26</v>
      </c>
      <c r="G48" s="39">
        <f>20</f>
        <v>20</v>
      </c>
      <c r="H48" s="283">
        <f>160</f>
        <v>160</v>
      </c>
      <c r="I48" s="283">
        <f>45</f>
        <v>45</v>
      </c>
      <c r="J48" s="283">
        <f>205</f>
        <v>205</v>
      </c>
      <c r="K48" s="91">
        <f>31</f>
        <v>31</v>
      </c>
      <c r="L48" s="39">
        <f t="shared" si="0"/>
        <v>10.25</v>
      </c>
      <c r="M48" s="933"/>
      <c r="N48" s="905"/>
      <c r="O48" s="903"/>
      <c r="P48" s="903"/>
      <c r="Q48" s="127" t="s">
        <v>39</v>
      </c>
      <c r="R48" s="960"/>
    </row>
    <row r="49" spans="1:19" ht="16.149999999999999" thickBot="1">
      <c r="A49" s="949" t="s">
        <v>94</v>
      </c>
      <c r="B49" s="49" t="s">
        <v>95</v>
      </c>
      <c r="C49" s="69" t="s">
        <v>44</v>
      </c>
      <c r="D49" s="54" t="s">
        <v>24</v>
      </c>
      <c r="E49" s="54" t="s">
        <v>25</v>
      </c>
      <c r="F49" s="103" t="s">
        <v>33</v>
      </c>
      <c r="G49" s="54">
        <f>43</f>
        <v>43</v>
      </c>
      <c r="H49" s="290">
        <f>252</f>
        <v>252</v>
      </c>
      <c r="I49" s="290">
        <f>102.5</f>
        <v>102.5</v>
      </c>
      <c r="J49" s="290">
        <f>357.5</f>
        <v>357.5</v>
      </c>
      <c r="K49" s="54">
        <f>45</f>
        <v>45</v>
      </c>
      <c r="L49" s="108">
        <f t="shared" si="0"/>
        <v>8.3139534883720927</v>
      </c>
      <c r="M49" s="932">
        <f>SUM(K49:K57)</f>
        <v>287</v>
      </c>
      <c r="N49" s="904">
        <f>P49/M49</f>
        <v>0.79442508710801396</v>
      </c>
      <c r="O49" s="902">
        <f>7</f>
        <v>7</v>
      </c>
      <c r="P49" s="902">
        <f>SUM(G49:G57)</f>
        <v>228</v>
      </c>
      <c r="Q49" s="127" t="s">
        <v>39</v>
      </c>
      <c r="R49" s="960"/>
    </row>
    <row r="50" spans="1:19" ht="16.149999999999999" thickBot="1">
      <c r="A50" s="951"/>
      <c r="B50" s="84" t="s">
        <v>95</v>
      </c>
      <c r="C50" s="75" t="s">
        <v>21</v>
      </c>
      <c r="D50" s="76" t="s">
        <v>96</v>
      </c>
      <c r="E50" s="76" t="s">
        <v>86</v>
      </c>
      <c r="F50" s="85" t="s">
        <v>97</v>
      </c>
      <c r="G50" s="76">
        <f>31</f>
        <v>31</v>
      </c>
      <c r="H50" s="292">
        <f>131</f>
        <v>131</v>
      </c>
      <c r="I50" s="292">
        <f>124</f>
        <v>124</v>
      </c>
      <c r="J50" s="292">
        <f>255</f>
        <v>255</v>
      </c>
      <c r="K50" s="36">
        <f>36</f>
        <v>36</v>
      </c>
      <c r="L50" s="106">
        <f t="shared" si="0"/>
        <v>8.2258064516129039</v>
      </c>
      <c r="M50" s="933"/>
      <c r="N50" s="905"/>
      <c r="O50" s="903"/>
      <c r="P50" s="903"/>
      <c r="Q50" s="127" t="s">
        <v>34</v>
      </c>
      <c r="R50" s="960"/>
    </row>
    <row r="51" spans="1:19" ht="16.149999999999999" thickBot="1">
      <c r="A51" s="951"/>
      <c r="B51" s="49" t="s">
        <v>98</v>
      </c>
      <c r="C51" s="70" t="s">
        <v>23</v>
      </c>
      <c r="D51" s="36" t="s">
        <v>24</v>
      </c>
      <c r="E51" s="36" t="s">
        <v>25</v>
      </c>
      <c r="F51" s="36" t="s">
        <v>33</v>
      </c>
      <c r="G51" s="36">
        <f>45</f>
        <v>45</v>
      </c>
      <c r="H51" s="278">
        <f>309.5</f>
        <v>309.5</v>
      </c>
      <c r="I51" s="278">
        <f>97.5</f>
        <v>97.5</v>
      </c>
      <c r="J51" s="278">
        <f>407</f>
        <v>407</v>
      </c>
      <c r="K51" s="36">
        <f>51</f>
        <v>51</v>
      </c>
      <c r="L51" s="106">
        <f t="shared" si="0"/>
        <v>9.0444444444444443</v>
      </c>
      <c r="M51" s="933"/>
      <c r="N51" s="905"/>
      <c r="O51" s="903"/>
      <c r="P51" s="903"/>
      <c r="Q51" s="127" t="s">
        <v>39</v>
      </c>
      <c r="R51" s="960"/>
    </row>
    <row r="52" spans="1:19" ht="16.149999999999999" thickBot="1">
      <c r="A52" s="951"/>
      <c r="B52" s="72" t="s">
        <v>99</v>
      </c>
      <c r="C52" s="82" t="s">
        <v>29</v>
      </c>
      <c r="D52" s="44" t="s">
        <v>24</v>
      </c>
      <c r="E52" s="44" t="s">
        <v>100</v>
      </c>
      <c r="F52" s="44"/>
      <c r="G52" s="44" t="s">
        <v>92</v>
      </c>
      <c r="H52" s="287" t="s">
        <v>92</v>
      </c>
      <c r="I52" s="287"/>
      <c r="J52" s="287"/>
      <c r="K52" s="44"/>
      <c r="L52" s="44"/>
      <c r="M52" s="933"/>
      <c r="N52" s="905"/>
      <c r="O52" s="903"/>
      <c r="P52" s="903"/>
      <c r="Q52" s="127"/>
      <c r="R52" s="960"/>
    </row>
    <row r="53" spans="1:19" ht="16.149999999999999" thickBot="1">
      <c r="A53" s="951"/>
      <c r="B53" s="72" t="s">
        <v>101</v>
      </c>
      <c r="C53" s="82" t="s">
        <v>50</v>
      </c>
      <c r="D53" s="44" t="s">
        <v>24</v>
      </c>
      <c r="E53" s="44" t="s">
        <v>100</v>
      </c>
      <c r="F53" s="44"/>
      <c r="G53" s="44" t="s">
        <v>92</v>
      </c>
      <c r="H53" s="287" t="s">
        <v>92</v>
      </c>
      <c r="I53" s="287"/>
      <c r="J53" s="287"/>
      <c r="K53" s="44"/>
      <c r="L53" s="44"/>
      <c r="M53" s="933"/>
      <c r="N53" s="905"/>
      <c r="O53" s="903"/>
      <c r="P53" s="903"/>
      <c r="Q53" s="127"/>
      <c r="R53" s="960"/>
    </row>
    <row r="54" spans="1:19" ht="16.149999999999999" thickBot="1">
      <c r="A54" s="951"/>
      <c r="B54" s="49" t="s">
        <v>102</v>
      </c>
      <c r="C54" s="75" t="s">
        <v>36</v>
      </c>
      <c r="D54" s="76" t="s">
        <v>24</v>
      </c>
      <c r="E54" s="76" t="s">
        <v>25</v>
      </c>
      <c r="F54" s="76" t="s">
        <v>33</v>
      </c>
      <c r="G54" s="76">
        <f>30</f>
        <v>30</v>
      </c>
      <c r="H54" s="292">
        <f>188.5</f>
        <v>188.5</v>
      </c>
      <c r="I54" s="292">
        <f>65</f>
        <v>65</v>
      </c>
      <c r="J54" s="292">
        <f>188.5+65</f>
        <v>253.5</v>
      </c>
      <c r="K54" s="36">
        <f>45</f>
        <v>45</v>
      </c>
      <c r="L54" s="106">
        <f>J54/G54</f>
        <v>8.4499999999999993</v>
      </c>
      <c r="M54" s="933"/>
      <c r="N54" s="905"/>
      <c r="O54" s="903"/>
      <c r="P54" s="903"/>
      <c r="Q54" s="127" t="s">
        <v>39</v>
      </c>
      <c r="R54" s="960"/>
    </row>
    <row r="55" spans="1:19" ht="16.149999999999999" thickBot="1">
      <c r="A55" s="951"/>
      <c r="B55" s="49" t="s">
        <v>102</v>
      </c>
      <c r="C55" s="70" t="s">
        <v>36</v>
      </c>
      <c r="D55" s="36" t="s">
        <v>96</v>
      </c>
      <c r="E55" s="36" t="s">
        <v>103</v>
      </c>
      <c r="F55" s="36" t="s">
        <v>26</v>
      </c>
      <c r="G55" s="36">
        <f>24</f>
        <v>24</v>
      </c>
      <c r="H55" s="278">
        <f>139</f>
        <v>139</v>
      </c>
      <c r="I55" s="278">
        <f>96</f>
        <v>96</v>
      </c>
      <c r="J55" s="278">
        <f>H55+I55</f>
        <v>235</v>
      </c>
      <c r="K55" s="36">
        <f>40</f>
        <v>40</v>
      </c>
      <c r="L55" s="106">
        <f>J55/G55</f>
        <v>9.7916666666666661</v>
      </c>
      <c r="M55" s="933"/>
      <c r="N55" s="905"/>
      <c r="O55" s="903"/>
      <c r="P55" s="903"/>
      <c r="Q55" s="127" t="s">
        <v>34</v>
      </c>
      <c r="R55" s="960"/>
    </row>
    <row r="56" spans="1:19" ht="16.149999999999999" thickBot="1">
      <c r="A56" s="951"/>
      <c r="B56" s="49" t="s">
        <v>104</v>
      </c>
      <c r="C56" s="70" t="s">
        <v>38</v>
      </c>
      <c r="D56" s="36" t="s">
        <v>24</v>
      </c>
      <c r="E56" s="36" t="s">
        <v>103</v>
      </c>
      <c r="F56" s="36" t="s">
        <v>26</v>
      </c>
      <c r="G56" s="36">
        <f>24</f>
        <v>24</v>
      </c>
      <c r="H56" s="278">
        <f>J56-I56</f>
        <v>149</v>
      </c>
      <c r="I56" s="278">
        <f>96</f>
        <v>96</v>
      </c>
      <c r="J56" s="278">
        <f>245</f>
        <v>245</v>
      </c>
      <c r="K56" s="36">
        <f>32</f>
        <v>32</v>
      </c>
      <c r="L56" s="106">
        <f>J56/G56</f>
        <v>10.208333333333334</v>
      </c>
      <c r="M56" s="933"/>
      <c r="N56" s="905"/>
      <c r="O56" s="903"/>
      <c r="P56" s="903"/>
      <c r="Q56" s="127" t="s">
        <v>34</v>
      </c>
      <c r="R56" s="960"/>
    </row>
    <row r="57" spans="1:19" ht="16.149999999999999" thickBot="1">
      <c r="A57" s="951"/>
      <c r="B57" s="107" t="s">
        <v>105</v>
      </c>
      <c r="C57" s="74" t="s">
        <v>41</v>
      </c>
      <c r="D57" s="39" t="s">
        <v>24</v>
      </c>
      <c r="E57" s="39" t="s">
        <v>25</v>
      </c>
      <c r="F57" s="39" t="s">
        <v>26</v>
      </c>
      <c r="G57" s="39">
        <f>31</f>
        <v>31</v>
      </c>
      <c r="H57" s="283">
        <f>215</f>
        <v>215</v>
      </c>
      <c r="I57" s="283">
        <f>70</f>
        <v>70</v>
      </c>
      <c r="J57" s="283">
        <f>285</f>
        <v>285</v>
      </c>
      <c r="K57" s="39">
        <f>38</f>
        <v>38</v>
      </c>
      <c r="L57" s="119">
        <f>J57/G57</f>
        <v>9.193548387096774</v>
      </c>
      <c r="M57" s="933"/>
      <c r="N57" s="905"/>
      <c r="O57" s="903"/>
      <c r="P57" s="903"/>
      <c r="Q57" s="127" t="s">
        <v>39</v>
      </c>
      <c r="R57" s="960"/>
    </row>
    <row r="58" spans="1:19" ht="16.149999999999999" thickBot="1">
      <c r="A58" s="949" t="s">
        <v>106</v>
      </c>
      <c r="B58" s="14" t="s">
        <v>107</v>
      </c>
      <c r="C58" s="71" t="s">
        <v>44</v>
      </c>
      <c r="D58" s="38"/>
      <c r="E58" s="38"/>
      <c r="F58" s="38"/>
      <c r="G58" s="38"/>
      <c r="H58" s="284"/>
      <c r="I58" s="284"/>
      <c r="J58" s="284"/>
      <c r="K58" s="78"/>
      <c r="L58" s="120"/>
      <c r="M58" s="932">
        <f>SUM(K59:K66)</f>
        <v>215</v>
      </c>
      <c r="N58" s="904">
        <f>P58/M58</f>
        <v>0.62790697674418605</v>
      </c>
      <c r="O58" s="902">
        <f>7</f>
        <v>7</v>
      </c>
      <c r="P58" s="902">
        <f>SUM(G59:G66)</f>
        <v>135</v>
      </c>
      <c r="Q58" s="127"/>
      <c r="R58" s="960"/>
    </row>
    <row r="59" spans="1:19" ht="16.149999999999999" thickBot="1">
      <c r="A59" s="950"/>
      <c r="B59" s="49" t="s">
        <v>108</v>
      </c>
      <c r="C59" s="70" t="s">
        <v>23</v>
      </c>
      <c r="D59" s="36" t="s">
        <v>24</v>
      </c>
      <c r="E59" s="36" t="s">
        <v>25</v>
      </c>
      <c r="F59" s="36" t="s">
        <v>33</v>
      </c>
      <c r="G59" s="36">
        <f>13</f>
        <v>13</v>
      </c>
      <c r="H59" s="278">
        <f>122.5</f>
        <v>122.5</v>
      </c>
      <c r="I59" s="278">
        <f>32.5</f>
        <v>32.5</v>
      </c>
      <c r="J59" s="278">
        <f>155</f>
        <v>155</v>
      </c>
      <c r="K59" s="79">
        <f>19</f>
        <v>19</v>
      </c>
      <c r="L59" s="106">
        <f>J59/G59</f>
        <v>11.923076923076923</v>
      </c>
      <c r="M59" s="933"/>
      <c r="N59" s="905"/>
      <c r="O59" s="903"/>
      <c r="P59" s="903"/>
      <c r="Q59" s="127" t="s">
        <v>39</v>
      </c>
      <c r="R59" s="960"/>
    </row>
    <row r="60" spans="1:19" ht="16.149999999999999" thickBot="1">
      <c r="A60" s="950"/>
      <c r="B60" s="49" t="s">
        <v>109</v>
      </c>
      <c r="C60" s="70" t="s">
        <v>29</v>
      </c>
      <c r="D60" s="36" t="s">
        <v>24</v>
      </c>
      <c r="E60" s="36" t="s">
        <v>86</v>
      </c>
      <c r="F60" s="36" t="s">
        <v>33</v>
      </c>
      <c r="G60" s="263">
        <f>15</f>
        <v>15</v>
      </c>
      <c r="H60" s="278">
        <f>115</f>
        <v>115</v>
      </c>
      <c r="I60" s="278">
        <f>60</f>
        <v>60</v>
      </c>
      <c r="J60" s="278">
        <f>175</f>
        <v>175</v>
      </c>
      <c r="K60" s="79">
        <f>26</f>
        <v>26</v>
      </c>
      <c r="L60" s="106">
        <f>J60/G60</f>
        <v>11.666666666666666</v>
      </c>
      <c r="M60" s="933"/>
      <c r="N60" s="905"/>
      <c r="O60" s="903"/>
      <c r="P60" s="903"/>
      <c r="Q60" s="127" t="s">
        <v>34</v>
      </c>
      <c r="R60" s="960"/>
      <c r="S60" s="52" t="s">
        <v>110</v>
      </c>
    </row>
    <row r="61" spans="1:19" ht="16.149999999999999" thickBot="1">
      <c r="A61" s="950"/>
      <c r="B61" s="49" t="s">
        <v>111</v>
      </c>
      <c r="C61" s="70" t="s">
        <v>50</v>
      </c>
      <c r="D61" s="36" t="s">
        <v>24</v>
      </c>
      <c r="E61" s="36" t="s">
        <v>25</v>
      </c>
      <c r="F61" s="36" t="s">
        <v>33</v>
      </c>
      <c r="G61" s="36">
        <f>27</f>
        <v>27</v>
      </c>
      <c r="H61" s="278">
        <f>132.5</f>
        <v>132.5</v>
      </c>
      <c r="I61" s="278">
        <f>67</f>
        <v>67</v>
      </c>
      <c r="J61" s="278">
        <f>200</f>
        <v>200</v>
      </c>
      <c r="K61" s="79">
        <f>33</f>
        <v>33</v>
      </c>
      <c r="L61" s="106">
        <f>J61/G61</f>
        <v>7.4074074074074074</v>
      </c>
      <c r="M61" s="933"/>
      <c r="N61" s="905"/>
      <c r="O61" s="903"/>
      <c r="P61" s="903"/>
      <c r="Q61" s="127" t="s">
        <v>39</v>
      </c>
      <c r="R61" s="960"/>
    </row>
    <row r="62" spans="1:19" ht="16.149999999999999" thickBot="1">
      <c r="A62" s="950"/>
      <c r="B62" s="49" t="s">
        <v>112</v>
      </c>
      <c r="C62" s="70" t="s">
        <v>36</v>
      </c>
      <c r="D62" s="36" t="s">
        <v>24</v>
      </c>
      <c r="E62" s="36" t="s">
        <v>25</v>
      </c>
      <c r="F62" s="36" t="s">
        <v>33</v>
      </c>
      <c r="G62" s="36">
        <f>22</f>
        <v>22</v>
      </c>
      <c r="H62" s="278">
        <f>300</f>
        <v>300</v>
      </c>
      <c r="I62" s="278">
        <f>55</f>
        <v>55</v>
      </c>
      <c r="J62" s="278">
        <f>355</f>
        <v>355</v>
      </c>
      <c r="K62" s="79">
        <f>42</f>
        <v>42</v>
      </c>
      <c r="L62" s="123">
        <f>J62/G62</f>
        <v>16.136363636363637</v>
      </c>
      <c r="M62" s="933"/>
      <c r="N62" s="905"/>
      <c r="O62" s="903"/>
      <c r="P62" s="903"/>
      <c r="Q62" s="127" t="s">
        <v>39</v>
      </c>
      <c r="R62" s="960"/>
    </row>
    <row r="63" spans="1:19" ht="16.149999999999999" thickBot="1">
      <c r="A63" s="950"/>
      <c r="B63" s="49" t="s">
        <v>113</v>
      </c>
      <c r="C63" s="70" t="s">
        <v>38</v>
      </c>
      <c r="D63" s="36" t="s">
        <v>24</v>
      </c>
      <c r="E63" s="36" t="s">
        <v>25</v>
      </c>
      <c r="F63" s="36" t="s">
        <v>26</v>
      </c>
      <c r="G63" s="36">
        <f>21</f>
        <v>21</v>
      </c>
      <c r="H63" s="278">
        <f>192.5</f>
        <v>192.5</v>
      </c>
      <c r="I63" s="278">
        <f>47</f>
        <v>47</v>
      </c>
      <c r="J63" s="278">
        <f>210</f>
        <v>210</v>
      </c>
      <c r="K63" s="79">
        <f>35</f>
        <v>35</v>
      </c>
      <c r="L63" s="123">
        <f t="shared" ref="L63:L113" si="1">J63/G63</f>
        <v>10</v>
      </c>
      <c r="M63" s="933"/>
      <c r="N63" s="905"/>
      <c r="O63" s="903"/>
      <c r="P63" s="903"/>
      <c r="Q63" s="127" t="s">
        <v>39</v>
      </c>
      <c r="R63" s="960"/>
      <c r="S63" t="s">
        <v>114</v>
      </c>
    </row>
    <row r="64" spans="1:19" ht="16.149999999999999" thickBot="1">
      <c r="A64" s="950"/>
      <c r="B64" s="72" t="s">
        <v>113</v>
      </c>
      <c r="C64" s="82" t="s">
        <v>38</v>
      </c>
      <c r="D64" s="44" t="s">
        <v>115</v>
      </c>
      <c r="E64" s="44" t="s">
        <v>25</v>
      </c>
      <c r="F64" s="44"/>
      <c r="G64" s="44"/>
      <c r="H64" s="287" t="s">
        <v>92</v>
      </c>
      <c r="I64" s="287"/>
      <c r="J64" s="287"/>
      <c r="K64" s="89"/>
      <c r="L64" s="148"/>
      <c r="M64" s="933"/>
      <c r="N64" s="905"/>
      <c r="O64" s="903"/>
      <c r="P64" s="903"/>
      <c r="Q64" s="127"/>
      <c r="R64" s="960"/>
      <c r="S64" t="s">
        <v>114</v>
      </c>
    </row>
    <row r="65" spans="1:18" ht="16.149999999999999" thickBot="1">
      <c r="A65" s="950"/>
      <c r="B65" s="49" t="s">
        <v>116</v>
      </c>
      <c r="C65" s="70" t="s">
        <v>41</v>
      </c>
      <c r="D65" s="36" t="s">
        <v>24</v>
      </c>
      <c r="E65" s="36" t="s">
        <v>25</v>
      </c>
      <c r="F65" s="36" t="s">
        <v>33</v>
      </c>
      <c r="G65" s="36">
        <f>22</f>
        <v>22</v>
      </c>
      <c r="H65" s="278">
        <f>190</f>
        <v>190</v>
      </c>
      <c r="I65" s="278">
        <f>55</f>
        <v>55</v>
      </c>
      <c r="J65" s="278">
        <f>245</f>
        <v>245</v>
      </c>
      <c r="K65" s="79">
        <f>35</f>
        <v>35</v>
      </c>
      <c r="L65" s="123">
        <f t="shared" si="1"/>
        <v>11.136363636363637</v>
      </c>
      <c r="M65" s="933"/>
      <c r="N65" s="905"/>
      <c r="O65" s="903"/>
      <c r="P65" s="903"/>
      <c r="Q65" s="127" t="s">
        <v>39</v>
      </c>
      <c r="R65" s="960"/>
    </row>
    <row r="66" spans="1:18" ht="16.149999999999999" thickBot="1">
      <c r="A66" s="952"/>
      <c r="B66" s="107" t="s">
        <v>116</v>
      </c>
      <c r="C66" s="74" t="s">
        <v>41</v>
      </c>
      <c r="D66" s="39" t="s">
        <v>115</v>
      </c>
      <c r="E66" s="39" t="s">
        <v>25</v>
      </c>
      <c r="F66" s="39" t="s">
        <v>33</v>
      </c>
      <c r="G66" s="39">
        <f>15</f>
        <v>15</v>
      </c>
      <c r="H66" s="283">
        <f>127.5</f>
        <v>127.5</v>
      </c>
      <c r="I66" s="283">
        <f>32.5</f>
        <v>32.5</v>
      </c>
      <c r="J66" s="283">
        <f>160</f>
        <v>160</v>
      </c>
      <c r="K66" s="133">
        <f>25</f>
        <v>25</v>
      </c>
      <c r="L66" s="134">
        <f t="shared" si="1"/>
        <v>10.666666666666666</v>
      </c>
      <c r="M66" s="934"/>
      <c r="N66" s="906"/>
      <c r="O66" s="907"/>
      <c r="P66" s="907"/>
      <c r="Q66" s="127" t="s">
        <v>39</v>
      </c>
      <c r="R66" s="960"/>
    </row>
    <row r="67" spans="1:18" ht="16.149999999999999" thickBot="1">
      <c r="A67" s="963" t="s">
        <v>19</v>
      </c>
      <c r="B67" s="49" t="s">
        <v>117</v>
      </c>
      <c r="C67" s="69" t="s">
        <v>21</v>
      </c>
      <c r="D67" s="54" t="s">
        <v>24</v>
      </c>
      <c r="E67" s="54" t="s">
        <v>25</v>
      </c>
      <c r="F67" s="54" t="s">
        <v>33</v>
      </c>
      <c r="G67" s="54">
        <f>31</f>
        <v>31</v>
      </c>
      <c r="H67" s="290">
        <f>255</f>
        <v>255</v>
      </c>
      <c r="I67" s="290">
        <f>65</f>
        <v>65</v>
      </c>
      <c r="J67" s="290">
        <f>320</f>
        <v>320</v>
      </c>
      <c r="K67" s="135">
        <f>45</f>
        <v>45</v>
      </c>
      <c r="L67" s="136">
        <f t="shared" si="1"/>
        <v>10.32258064516129</v>
      </c>
      <c r="M67" s="902">
        <f>SUM(K67:K76)</f>
        <v>256</v>
      </c>
      <c r="N67" s="904">
        <f>P67/M67</f>
        <v>0.69921875</v>
      </c>
      <c r="O67" s="902">
        <f>6</f>
        <v>6</v>
      </c>
      <c r="P67" s="902">
        <f>SUM(G67:G75)</f>
        <v>179</v>
      </c>
      <c r="Q67" s="127" t="s">
        <v>39</v>
      </c>
      <c r="R67" s="960"/>
    </row>
    <row r="68" spans="1:18" ht="16.149999999999999" thickBot="1">
      <c r="A68" s="964"/>
      <c r="B68" s="130" t="s">
        <v>118</v>
      </c>
      <c r="C68" s="128" t="s">
        <v>23</v>
      </c>
      <c r="D68" s="137" t="s">
        <v>119</v>
      </c>
      <c r="E68" s="137" t="s">
        <v>120</v>
      </c>
      <c r="F68" s="137"/>
      <c r="G68" s="137"/>
      <c r="H68" s="293"/>
      <c r="I68" s="293"/>
      <c r="J68" s="293"/>
      <c r="K68" s="138"/>
      <c r="L68" s="182"/>
      <c r="M68" s="903"/>
      <c r="N68" s="905"/>
      <c r="O68" s="903"/>
      <c r="P68" s="903"/>
      <c r="Q68" s="127"/>
      <c r="R68" s="961"/>
    </row>
    <row r="69" spans="1:18" ht="16.149999999999999" thickBot="1">
      <c r="A69" s="964"/>
      <c r="B69" s="87" t="s">
        <v>121</v>
      </c>
      <c r="C69" s="68" t="s">
        <v>29</v>
      </c>
      <c r="D69" s="23"/>
      <c r="E69" s="23"/>
      <c r="F69" s="23"/>
      <c r="G69" s="23"/>
      <c r="H69" s="285"/>
      <c r="I69" s="285"/>
      <c r="J69" s="285"/>
      <c r="K69" s="24"/>
      <c r="L69" s="180"/>
      <c r="M69" s="903"/>
      <c r="N69" s="905"/>
      <c r="O69" s="903"/>
      <c r="P69" s="903"/>
      <c r="Q69" s="127"/>
      <c r="R69" s="944" t="s">
        <v>122</v>
      </c>
    </row>
    <row r="70" spans="1:18" ht="16.149999999999999" thickBot="1">
      <c r="A70" s="964"/>
      <c r="B70" s="14" t="s">
        <v>123</v>
      </c>
      <c r="C70" s="68" t="s">
        <v>31</v>
      </c>
      <c r="D70" s="23"/>
      <c r="E70" s="23"/>
      <c r="F70" s="23"/>
      <c r="G70" s="23"/>
      <c r="H70" s="285"/>
      <c r="I70" s="285"/>
      <c r="J70" s="285"/>
      <c r="K70" s="24"/>
      <c r="L70" s="180"/>
      <c r="M70" s="903"/>
      <c r="N70" s="905"/>
      <c r="O70" s="903"/>
      <c r="P70" s="903"/>
      <c r="Q70" s="127"/>
      <c r="R70" s="945"/>
    </row>
    <row r="71" spans="1:18" ht="16.149999999999999" thickBot="1">
      <c r="A71" s="964"/>
      <c r="B71" s="49" t="s">
        <v>124</v>
      </c>
      <c r="C71" s="74" t="s">
        <v>31</v>
      </c>
      <c r="D71" s="36" t="s">
        <v>62</v>
      </c>
      <c r="E71" s="36" t="s">
        <v>25</v>
      </c>
      <c r="F71" s="36" t="s">
        <v>33</v>
      </c>
      <c r="G71" s="36">
        <f>21</f>
        <v>21</v>
      </c>
      <c r="H71" s="278">
        <f>151.5</f>
        <v>151.5</v>
      </c>
      <c r="I71" s="278">
        <f>52.5</f>
        <v>52.5</v>
      </c>
      <c r="J71" s="278">
        <f>204</f>
        <v>204</v>
      </c>
      <c r="K71" s="36">
        <f>30</f>
        <v>30</v>
      </c>
      <c r="L71" s="181">
        <f t="shared" si="1"/>
        <v>9.7142857142857135</v>
      </c>
      <c r="M71" s="903"/>
      <c r="N71" s="905"/>
      <c r="O71" s="903"/>
      <c r="P71" s="903"/>
      <c r="Q71" s="127" t="s">
        <v>39</v>
      </c>
      <c r="R71" s="945"/>
    </row>
    <row r="72" spans="1:18" ht="16.149999999999999" thickBot="1">
      <c r="A72" s="964"/>
      <c r="B72" s="49" t="s">
        <v>125</v>
      </c>
      <c r="C72" s="70" t="s">
        <v>36</v>
      </c>
      <c r="D72" s="36" t="s">
        <v>24</v>
      </c>
      <c r="E72" s="36" t="s">
        <v>86</v>
      </c>
      <c r="F72" s="36" t="s">
        <v>26</v>
      </c>
      <c r="G72" s="36">
        <f>26</f>
        <v>26</v>
      </c>
      <c r="H72" s="278">
        <f>111</f>
        <v>111</v>
      </c>
      <c r="I72" s="278">
        <f>104</f>
        <v>104</v>
      </c>
      <c r="J72" s="278">
        <f>215</f>
        <v>215</v>
      </c>
      <c r="K72" s="36">
        <f>32</f>
        <v>32</v>
      </c>
      <c r="L72" s="181">
        <f t="shared" si="1"/>
        <v>8.2692307692307701</v>
      </c>
      <c r="M72" s="903"/>
      <c r="N72" s="905"/>
      <c r="O72" s="903"/>
      <c r="P72" s="903"/>
      <c r="Q72" s="127" t="s">
        <v>34</v>
      </c>
      <c r="R72" s="945"/>
    </row>
    <row r="73" spans="1:18" ht="16.149999999999999" thickBot="1">
      <c r="A73" s="964"/>
      <c r="B73" s="49" t="s">
        <v>125</v>
      </c>
      <c r="C73" s="70" t="s">
        <v>38</v>
      </c>
      <c r="D73" s="36" t="s">
        <v>115</v>
      </c>
      <c r="E73" s="36" t="s">
        <v>25</v>
      </c>
      <c r="F73" s="36" t="s">
        <v>33</v>
      </c>
      <c r="G73" s="36">
        <f>27</f>
        <v>27</v>
      </c>
      <c r="H73" s="278">
        <f>275</f>
        <v>275</v>
      </c>
      <c r="I73" s="278">
        <f>65</f>
        <v>65</v>
      </c>
      <c r="J73" s="278">
        <f>340</f>
        <v>340</v>
      </c>
      <c r="K73" s="36">
        <f>40</f>
        <v>40</v>
      </c>
      <c r="L73" s="181">
        <f t="shared" si="1"/>
        <v>12.592592592592593</v>
      </c>
      <c r="M73" s="903"/>
      <c r="N73" s="905"/>
      <c r="O73" s="903"/>
      <c r="P73" s="903"/>
      <c r="Q73" s="127" t="s">
        <v>39</v>
      </c>
      <c r="R73" s="945"/>
    </row>
    <row r="74" spans="1:18" ht="16.149999999999999" thickBot="1">
      <c r="A74" s="964"/>
      <c r="B74" s="49" t="s">
        <v>125</v>
      </c>
      <c r="C74" s="70" t="s">
        <v>38</v>
      </c>
      <c r="D74" s="36" t="s">
        <v>24</v>
      </c>
      <c r="E74" s="36" t="s">
        <v>25</v>
      </c>
      <c r="F74" s="36" t="s">
        <v>33</v>
      </c>
      <c r="G74" s="36">
        <f>34</f>
        <v>34</v>
      </c>
      <c r="H74" s="278">
        <f>282.5</f>
        <v>282.5</v>
      </c>
      <c r="I74" s="278">
        <f>80</f>
        <v>80</v>
      </c>
      <c r="J74" s="278">
        <f>H74+I74</f>
        <v>362.5</v>
      </c>
      <c r="K74" s="36">
        <f>56</f>
        <v>56</v>
      </c>
      <c r="L74" s="181">
        <f t="shared" si="1"/>
        <v>10.661764705882353</v>
      </c>
      <c r="M74" s="903"/>
      <c r="N74" s="905"/>
      <c r="O74" s="903"/>
      <c r="P74" s="903"/>
      <c r="Q74" s="127" t="s">
        <v>39</v>
      </c>
      <c r="R74" s="945"/>
    </row>
    <row r="75" spans="1:18" ht="16.149999999999999" thickBot="1">
      <c r="A75" s="964"/>
      <c r="B75" s="49" t="s">
        <v>126</v>
      </c>
      <c r="C75" s="74" t="s">
        <v>41</v>
      </c>
      <c r="D75" s="39" t="s">
        <v>24</v>
      </c>
      <c r="E75" s="39" t="s">
        <v>25</v>
      </c>
      <c r="F75" s="39" t="s">
        <v>33</v>
      </c>
      <c r="G75" s="39">
        <f>40</f>
        <v>40</v>
      </c>
      <c r="H75" s="283">
        <f>344.5</f>
        <v>344.5</v>
      </c>
      <c r="I75" s="283">
        <f>87.5</f>
        <v>87.5</v>
      </c>
      <c r="J75" s="283">
        <f>433</f>
        <v>433</v>
      </c>
      <c r="K75" s="39">
        <f>53</f>
        <v>53</v>
      </c>
      <c r="L75" s="181">
        <f t="shared" si="1"/>
        <v>10.824999999999999</v>
      </c>
      <c r="M75" s="903"/>
      <c r="N75" s="905"/>
      <c r="O75" s="903"/>
      <c r="P75" s="903"/>
      <c r="Q75" s="127" t="s">
        <v>39</v>
      </c>
      <c r="R75" s="945"/>
    </row>
    <row r="76" spans="1:18" ht="16.149999999999999" thickBot="1">
      <c r="A76" s="965"/>
      <c r="B76" s="72" t="s">
        <v>126</v>
      </c>
      <c r="C76" s="191" t="s">
        <v>41</v>
      </c>
      <c r="D76" s="191" t="s">
        <v>115</v>
      </c>
      <c r="E76" s="191" t="s">
        <v>25</v>
      </c>
      <c r="F76" s="191" t="s">
        <v>92</v>
      </c>
      <c r="G76" s="191"/>
      <c r="H76" s="294"/>
      <c r="I76" s="294"/>
      <c r="J76" s="294"/>
      <c r="K76" s="191"/>
      <c r="L76" s="192"/>
      <c r="M76" s="907"/>
      <c r="N76" s="906"/>
      <c r="O76" s="907"/>
      <c r="P76" s="907"/>
      <c r="Q76" s="127"/>
      <c r="R76" s="945"/>
    </row>
    <row r="77" spans="1:18" ht="16.149999999999999" thickBot="1">
      <c r="A77" s="963" t="s">
        <v>42</v>
      </c>
      <c r="B77" s="14" t="s">
        <v>127</v>
      </c>
      <c r="C77" s="196" t="s">
        <v>21</v>
      </c>
      <c r="D77" s="196"/>
      <c r="E77" s="196"/>
      <c r="F77" s="196"/>
      <c r="G77" s="196"/>
      <c r="H77" s="295"/>
      <c r="I77" s="295"/>
      <c r="J77" s="295"/>
      <c r="K77" s="196"/>
      <c r="L77" s="197"/>
      <c r="M77" s="902">
        <f>SUM(K77:K84)</f>
        <v>146</v>
      </c>
      <c r="N77" s="904">
        <f>P77/M77</f>
        <v>0.71917808219178081</v>
      </c>
      <c r="O77" s="902">
        <f>5</f>
        <v>5</v>
      </c>
      <c r="P77" s="902">
        <f>SUM(G77:G84)</f>
        <v>105</v>
      </c>
      <c r="Q77" s="127"/>
      <c r="R77" s="945"/>
    </row>
    <row r="78" spans="1:18" ht="16.149999999999999" thickBot="1">
      <c r="A78" s="964"/>
      <c r="B78" s="14" t="s">
        <v>128</v>
      </c>
      <c r="C78" s="23" t="s">
        <v>23</v>
      </c>
      <c r="D78" s="23"/>
      <c r="E78" s="23"/>
      <c r="F78" s="23"/>
      <c r="G78" s="23"/>
      <c r="H78" s="285"/>
      <c r="I78" s="285"/>
      <c r="J78" s="285"/>
      <c r="K78" s="24"/>
      <c r="L78" s="179"/>
      <c r="M78" s="903"/>
      <c r="N78" s="905"/>
      <c r="O78" s="903"/>
      <c r="P78" s="903"/>
      <c r="Q78" s="127"/>
      <c r="R78" s="945"/>
    </row>
    <row r="79" spans="1:18" ht="16.149999999999999" thickBot="1">
      <c r="A79" s="964"/>
      <c r="B79" s="49" t="s">
        <v>129</v>
      </c>
      <c r="C79" s="36" t="s">
        <v>29</v>
      </c>
      <c r="D79" s="36" t="s">
        <v>24</v>
      </c>
      <c r="E79" s="36" t="s">
        <v>25</v>
      </c>
      <c r="F79" s="36" t="s">
        <v>33</v>
      </c>
      <c r="G79" s="36">
        <f>21</f>
        <v>21</v>
      </c>
      <c r="H79" s="278">
        <f>127.5</f>
        <v>127.5</v>
      </c>
      <c r="I79" s="278">
        <f>37.5</f>
        <v>37.5</v>
      </c>
      <c r="J79" s="278">
        <f>H79+I79</f>
        <v>165</v>
      </c>
      <c r="K79" s="36">
        <f>26</f>
        <v>26</v>
      </c>
      <c r="L79" s="123">
        <f t="shared" si="1"/>
        <v>7.8571428571428568</v>
      </c>
      <c r="M79" s="903"/>
      <c r="N79" s="905"/>
      <c r="O79" s="903"/>
      <c r="P79" s="903"/>
      <c r="Q79" s="127" t="s">
        <v>39</v>
      </c>
      <c r="R79" s="945"/>
    </row>
    <row r="80" spans="1:18" ht="16.149999999999999" thickBot="1">
      <c r="A80" s="964"/>
      <c r="B80" s="72" t="s">
        <v>130</v>
      </c>
      <c r="C80" s="44" t="s">
        <v>31</v>
      </c>
      <c r="D80" s="44" t="s">
        <v>24</v>
      </c>
      <c r="E80" s="44" t="s">
        <v>25</v>
      </c>
      <c r="F80" s="44" t="s">
        <v>131</v>
      </c>
      <c r="G80" s="44"/>
      <c r="H80" s="287"/>
      <c r="I80" s="287"/>
      <c r="J80" s="287"/>
      <c r="K80" s="44"/>
      <c r="L80" s="148"/>
      <c r="M80" s="903"/>
      <c r="N80" s="905"/>
      <c r="O80" s="903"/>
      <c r="P80" s="903"/>
      <c r="Q80" s="127"/>
      <c r="R80" s="945"/>
    </row>
    <row r="81" spans="1:19" ht="16.149999999999999" thickBot="1">
      <c r="A81" s="964"/>
      <c r="B81" s="49" t="s">
        <v>132</v>
      </c>
      <c r="C81" s="36" t="s">
        <v>36</v>
      </c>
      <c r="D81" s="36" t="s">
        <v>24</v>
      </c>
      <c r="E81" s="36" t="s">
        <v>86</v>
      </c>
      <c r="F81" s="36" t="s">
        <v>26</v>
      </c>
      <c r="G81" s="36">
        <f>31</f>
        <v>31</v>
      </c>
      <c r="H81" s="278">
        <f>176</f>
        <v>176</v>
      </c>
      <c r="I81" s="278">
        <f>84</f>
        <v>84</v>
      </c>
      <c r="J81" s="278">
        <f>260</f>
        <v>260</v>
      </c>
      <c r="K81" s="36">
        <f>26</f>
        <v>26</v>
      </c>
      <c r="L81" s="123">
        <f t="shared" si="1"/>
        <v>8.387096774193548</v>
      </c>
      <c r="M81" s="903"/>
      <c r="N81" s="905"/>
      <c r="O81" s="903"/>
      <c r="P81" s="903"/>
      <c r="Q81" s="127" t="s">
        <v>34</v>
      </c>
      <c r="R81" s="945"/>
    </row>
    <row r="82" spans="1:19" ht="16.149999999999999" thickBot="1">
      <c r="A82" s="964"/>
      <c r="B82" s="49" t="s">
        <v>133</v>
      </c>
      <c r="C82" s="36" t="s">
        <v>38</v>
      </c>
      <c r="D82" s="36" t="s">
        <v>24</v>
      </c>
      <c r="E82" s="36" t="s">
        <v>25</v>
      </c>
      <c r="F82" s="36" t="s">
        <v>33</v>
      </c>
      <c r="G82" s="36">
        <f>15</f>
        <v>15</v>
      </c>
      <c r="H82" s="278">
        <f>100</f>
        <v>100</v>
      </c>
      <c r="I82" s="278">
        <f>35</f>
        <v>35</v>
      </c>
      <c r="J82" s="278">
        <f>135</f>
        <v>135</v>
      </c>
      <c r="K82" s="36">
        <f>30</f>
        <v>30</v>
      </c>
      <c r="L82" s="123">
        <f t="shared" si="1"/>
        <v>9</v>
      </c>
      <c r="M82" s="903"/>
      <c r="N82" s="905"/>
      <c r="O82" s="903"/>
      <c r="P82" s="903"/>
      <c r="Q82" s="184" t="s">
        <v>39</v>
      </c>
      <c r="R82" s="945"/>
    </row>
    <row r="83" spans="1:19" ht="16.149999999999999" thickBot="1">
      <c r="A83" s="964"/>
      <c r="B83" s="49" t="s">
        <v>133</v>
      </c>
      <c r="C83" s="36" t="s">
        <v>38</v>
      </c>
      <c r="D83" s="36" t="s">
        <v>96</v>
      </c>
      <c r="E83" s="36" t="s">
        <v>86</v>
      </c>
      <c r="F83" s="36" t="s">
        <v>26</v>
      </c>
      <c r="G83" s="36">
        <f>24</f>
        <v>24</v>
      </c>
      <c r="H83" s="278">
        <f>219</f>
        <v>219</v>
      </c>
      <c r="I83" s="278">
        <f>96</f>
        <v>96</v>
      </c>
      <c r="J83" s="278">
        <f>315</f>
        <v>315</v>
      </c>
      <c r="K83" s="36">
        <f>43</f>
        <v>43</v>
      </c>
      <c r="L83" s="123">
        <f t="shared" si="1"/>
        <v>13.125</v>
      </c>
      <c r="M83" s="903"/>
      <c r="N83" s="905"/>
      <c r="O83" s="903"/>
      <c r="P83" s="903"/>
      <c r="Q83" s="127" t="s">
        <v>34</v>
      </c>
      <c r="R83" s="945"/>
    </row>
    <row r="84" spans="1:19" ht="16.149999999999999" thickBot="1">
      <c r="A84" s="965"/>
      <c r="B84" s="107" t="s">
        <v>134</v>
      </c>
      <c r="C84" s="39" t="s">
        <v>41</v>
      </c>
      <c r="D84" s="39" t="s">
        <v>24</v>
      </c>
      <c r="E84" s="39" t="s">
        <v>25</v>
      </c>
      <c r="F84" s="39" t="s">
        <v>26</v>
      </c>
      <c r="G84" s="39">
        <f>14</f>
        <v>14</v>
      </c>
      <c r="H84" s="283">
        <f>133.5</f>
        <v>133.5</v>
      </c>
      <c r="I84" s="283">
        <f>37.5</f>
        <v>37.5</v>
      </c>
      <c r="J84" s="283">
        <f>171</f>
        <v>171</v>
      </c>
      <c r="K84" s="39">
        <f>21</f>
        <v>21</v>
      </c>
      <c r="L84" s="134">
        <f t="shared" si="1"/>
        <v>12.214285714285714</v>
      </c>
      <c r="M84" s="903"/>
      <c r="N84" s="905"/>
      <c r="O84" s="903"/>
      <c r="P84" s="903"/>
      <c r="Q84" s="131" t="s">
        <v>39</v>
      </c>
      <c r="R84" s="945"/>
    </row>
    <row r="85" spans="1:19" ht="15" thickBot="1">
      <c r="A85" s="963" t="s">
        <v>54</v>
      </c>
      <c r="B85" s="14" t="s">
        <v>135</v>
      </c>
      <c r="C85" s="71" t="s">
        <v>21</v>
      </c>
      <c r="D85" s="196"/>
      <c r="E85" s="196"/>
      <c r="F85" s="196"/>
      <c r="G85" s="196"/>
      <c r="H85" s="295"/>
      <c r="I85" s="295"/>
      <c r="J85" s="295"/>
      <c r="K85" s="196"/>
      <c r="L85" s="237"/>
      <c r="M85" s="932">
        <f>SUM(K85:K95)</f>
        <v>239</v>
      </c>
      <c r="N85" s="904">
        <f>P85/M85</f>
        <v>0.7531380753138075</v>
      </c>
      <c r="O85" s="902">
        <v>7</v>
      </c>
      <c r="P85" s="902">
        <f>SUM(G85:G95)</f>
        <v>180</v>
      </c>
      <c r="Q85" s="235"/>
      <c r="R85" s="945"/>
    </row>
    <row r="86" spans="1:19" ht="16.149999999999999" thickBot="1">
      <c r="A86" s="964"/>
      <c r="B86" s="72" t="s">
        <v>136</v>
      </c>
      <c r="C86" s="82" t="s">
        <v>23</v>
      </c>
      <c r="D86" s="44" t="s">
        <v>24</v>
      </c>
      <c r="E86" s="44" t="s">
        <v>86</v>
      </c>
      <c r="F86" s="44" t="s">
        <v>131</v>
      </c>
      <c r="G86" s="44"/>
      <c r="H86" s="287"/>
      <c r="I86" s="287"/>
      <c r="J86" s="287"/>
      <c r="K86" s="44"/>
      <c r="L86" s="238"/>
      <c r="M86" s="933"/>
      <c r="N86" s="905"/>
      <c r="O86" s="903"/>
      <c r="P86" s="903"/>
      <c r="Q86" s="236"/>
      <c r="R86" s="945"/>
    </row>
    <row r="87" spans="1:19" ht="16.149999999999999" thickBot="1">
      <c r="A87" s="964"/>
      <c r="B87" s="49" t="s">
        <v>136</v>
      </c>
      <c r="C87" s="70" t="s">
        <v>23</v>
      </c>
      <c r="D87" s="36" t="s">
        <v>24</v>
      </c>
      <c r="E87" s="36" t="s">
        <v>25</v>
      </c>
      <c r="F87" s="36" t="s">
        <v>33</v>
      </c>
      <c r="G87" s="36">
        <f>25</f>
        <v>25</v>
      </c>
      <c r="H87" s="278">
        <f>298.5</f>
        <v>298.5</v>
      </c>
      <c r="I87" s="278">
        <f>57.5</f>
        <v>57.5</v>
      </c>
      <c r="J87" s="278">
        <f>356</f>
        <v>356</v>
      </c>
      <c r="K87" s="36">
        <f>27</f>
        <v>27</v>
      </c>
      <c r="L87" s="181">
        <f t="shared" si="1"/>
        <v>14.24</v>
      </c>
      <c r="M87" s="933"/>
      <c r="N87" s="905"/>
      <c r="O87" s="903"/>
      <c r="P87" s="903"/>
      <c r="Q87" s="236" t="s">
        <v>39</v>
      </c>
      <c r="R87" s="945"/>
      <c r="S87" t="s">
        <v>137</v>
      </c>
    </row>
    <row r="88" spans="1:19" ht="16.149999999999999" thickBot="1">
      <c r="A88" s="964"/>
      <c r="B88" s="49" t="s">
        <v>138</v>
      </c>
      <c r="C88" s="70" t="s">
        <v>29</v>
      </c>
      <c r="D88" s="36" t="s">
        <v>24</v>
      </c>
      <c r="E88" s="36" t="s">
        <v>25</v>
      </c>
      <c r="F88" s="36" t="s">
        <v>26</v>
      </c>
      <c r="G88" s="36">
        <f>16</f>
        <v>16</v>
      </c>
      <c r="H88" s="278">
        <f>125</f>
        <v>125</v>
      </c>
      <c r="I88" s="278">
        <f>40</f>
        <v>40</v>
      </c>
      <c r="J88" s="278">
        <f>165</f>
        <v>165</v>
      </c>
      <c r="K88" s="36">
        <f>20</f>
        <v>20</v>
      </c>
      <c r="L88" s="181">
        <f t="shared" si="1"/>
        <v>10.3125</v>
      </c>
      <c r="M88" s="933"/>
      <c r="N88" s="905"/>
      <c r="O88" s="903"/>
      <c r="P88" s="903"/>
      <c r="Q88" s="236" t="s">
        <v>34</v>
      </c>
      <c r="R88" s="945"/>
      <c r="S88" t="s">
        <v>139</v>
      </c>
    </row>
    <row r="89" spans="1:19" ht="16.149999999999999" thickBot="1">
      <c r="A89" s="964"/>
      <c r="B89" s="72" t="s">
        <v>138</v>
      </c>
      <c r="C89" s="82" t="s">
        <v>29</v>
      </c>
      <c r="D89" s="44" t="s">
        <v>96</v>
      </c>
      <c r="E89" s="44" t="s">
        <v>86</v>
      </c>
      <c r="F89" s="44" t="s">
        <v>92</v>
      </c>
      <c r="G89" s="44"/>
      <c r="H89" s="287"/>
      <c r="I89" s="287"/>
      <c r="J89" s="287"/>
      <c r="K89" s="44"/>
      <c r="L89" s="238"/>
      <c r="M89" s="933"/>
      <c r="N89" s="905"/>
      <c r="O89" s="903"/>
      <c r="P89" s="903"/>
      <c r="Q89" s="236"/>
      <c r="R89" s="945"/>
      <c r="S89" t="s">
        <v>140</v>
      </c>
    </row>
    <row r="90" spans="1:19" ht="16.149999999999999" thickBot="1">
      <c r="A90" s="964"/>
      <c r="B90" s="72" t="s">
        <v>141</v>
      </c>
      <c r="C90" s="82" t="s">
        <v>31</v>
      </c>
      <c r="D90" s="44" t="s">
        <v>24</v>
      </c>
      <c r="E90" s="44" t="s">
        <v>25</v>
      </c>
      <c r="F90" s="44" t="s">
        <v>131</v>
      </c>
      <c r="G90" s="44"/>
      <c r="H90" s="287"/>
      <c r="I90" s="287"/>
      <c r="J90" s="287"/>
      <c r="K90" s="44"/>
      <c r="L90" s="238"/>
      <c r="M90" s="933"/>
      <c r="N90" s="905"/>
      <c r="O90" s="903"/>
      <c r="P90" s="903"/>
      <c r="Q90" s="236"/>
      <c r="R90" s="945"/>
    </row>
    <row r="91" spans="1:19" ht="16.149999999999999" thickBot="1">
      <c r="A91" s="964"/>
      <c r="B91" s="49" t="s">
        <v>142</v>
      </c>
      <c r="C91" s="70" t="s">
        <v>36</v>
      </c>
      <c r="D91" s="36" t="s">
        <v>24</v>
      </c>
      <c r="E91" s="36" t="s">
        <v>25</v>
      </c>
      <c r="F91" s="36" t="s">
        <v>33</v>
      </c>
      <c r="G91" s="36">
        <f>25</f>
        <v>25</v>
      </c>
      <c r="H91" s="278">
        <f>225.5</f>
        <v>225.5</v>
      </c>
      <c r="I91" s="278">
        <f>62.5</f>
        <v>62.5</v>
      </c>
      <c r="J91" s="278">
        <f>285</f>
        <v>285</v>
      </c>
      <c r="K91" s="36">
        <f>32</f>
        <v>32</v>
      </c>
      <c r="L91" s="181">
        <f t="shared" si="1"/>
        <v>11.4</v>
      </c>
      <c r="M91" s="933"/>
      <c r="N91" s="905"/>
      <c r="O91" s="903"/>
      <c r="P91" s="903"/>
      <c r="Q91" s="236" t="s">
        <v>39</v>
      </c>
      <c r="R91" s="945"/>
    </row>
    <row r="92" spans="1:19" ht="16.149999999999999" thickBot="1">
      <c r="A92" s="964"/>
      <c r="B92" s="49" t="s">
        <v>143</v>
      </c>
      <c r="C92" s="70" t="s">
        <v>38</v>
      </c>
      <c r="D92" s="36" t="s">
        <v>24</v>
      </c>
      <c r="E92" s="36" t="s">
        <v>25</v>
      </c>
      <c r="F92" s="36" t="s">
        <v>33</v>
      </c>
      <c r="G92" s="36">
        <f>24</f>
        <v>24</v>
      </c>
      <c r="H92" s="278">
        <f>215</f>
        <v>215</v>
      </c>
      <c r="I92" s="278">
        <f>60</f>
        <v>60</v>
      </c>
      <c r="J92" s="278">
        <f>275</f>
        <v>275</v>
      </c>
      <c r="K92" s="36">
        <f>35</f>
        <v>35</v>
      </c>
      <c r="L92" s="181">
        <f t="shared" si="1"/>
        <v>11.458333333333334</v>
      </c>
      <c r="M92" s="933"/>
      <c r="N92" s="905"/>
      <c r="O92" s="903"/>
      <c r="P92" s="903"/>
      <c r="Q92" s="236" t="s">
        <v>144</v>
      </c>
      <c r="R92" s="945"/>
    </row>
    <row r="93" spans="1:19" ht="16.149999999999999" thickBot="1">
      <c r="A93" s="964"/>
      <c r="B93" s="49" t="s">
        <v>143</v>
      </c>
      <c r="C93" s="70" t="s">
        <v>38</v>
      </c>
      <c r="D93" s="36" t="s">
        <v>96</v>
      </c>
      <c r="E93" s="36" t="s">
        <v>86</v>
      </c>
      <c r="F93" s="36" t="s">
        <v>26</v>
      </c>
      <c r="G93" s="36">
        <f>32</f>
        <v>32</v>
      </c>
      <c r="H93" s="278">
        <f>230</f>
        <v>230</v>
      </c>
      <c r="I93" s="278">
        <f>128</f>
        <v>128</v>
      </c>
      <c r="J93" s="278">
        <f>358</f>
        <v>358</v>
      </c>
      <c r="K93" s="36">
        <f>40</f>
        <v>40</v>
      </c>
      <c r="L93" s="181">
        <f t="shared" si="1"/>
        <v>11.1875</v>
      </c>
      <c r="M93" s="933"/>
      <c r="N93" s="905"/>
      <c r="O93" s="903"/>
      <c r="P93" s="903"/>
      <c r="Q93" s="236" t="s">
        <v>34</v>
      </c>
      <c r="R93" s="945"/>
    </row>
    <row r="94" spans="1:19" ht="16.149999999999999" thickBot="1">
      <c r="A94" s="964"/>
      <c r="B94" s="49" t="s">
        <v>145</v>
      </c>
      <c r="C94" s="70" t="s">
        <v>41</v>
      </c>
      <c r="D94" s="36" t="s">
        <v>24</v>
      </c>
      <c r="E94" s="36" t="s">
        <v>25</v>
      </c>
      <c r="F94" s="36" t="s">
        <v>33</v>
      </c>
      <c r="G94" s="36">
        <f>21</f>
        <v>21</v>
      </c>
      <c r="H94" s="278">
        <f>127.5</f>
        <v>127.5</v>
      </c>
      <c r="I94" s="278">
        <f>52.5</f>
        <v>52.5</v>
      </c>
      <c r="J94" s="278">
        <f>SUM(H94:I94)</f>
        <v>180</v>
      </c>
      <c r="K94" s="36">
        <f>27</f>
        <v>27</v>
      </c>
      <c r="L94" s="181">
        <f t="shared" si="1"/>
        <v>8.5714285714285712</v>
      </c>
      <c r="M94" s="933"/>
      <c r="N94" s="905"/>
      <c r="O94" s="903"/>
      <c r="P94" s="903"/>
      <c r="Q94" s="236" t="s">
        <v>39</v>
      </c>
      <c r="R94" s="945"/>
    </row>
    <row r="95" spans="1:19" ht="16.149999999999999" thickBot="1">
      <c r="A95" s="965"/>
      <c r="B95" s="49" t="s">
        <v>145</v>
      </c>
      <c r="C95" s="46" t="s">
        <v>41</v>
      </c>
      <c r="D95" s="41" t="s">
        <v>115</v>
      </c>
      <c r="E95" s="41" t="s">
        <v>146</v>
      </c>
      <c r="F95" s="41" t="s">
        <v>33</v>
      </c>
      <c r="G95" s="41">
        <f>37</f>
        <v>37</v>
      </c>
      <c r="H95" s="281">
        <f>237.5</f>
        <v>237.5</v>
      </c>
      <c r="I95" s="281">
        <f>92.5</f>
        <v>92.5</v>
      </c>
      <c r="J95" s="281">
        <f>330</f>
        <v>330</v>
      </c>
      <c r="K95" s="41">
        <f>58</f>
        <v>58</v>
      </c>
      <c r="L95" s="239">
        <f t="shared" si="1"/>
        <v>8.9189189189189193</v>
      </c>
      <c r="M95" s="934"/>
      <c r="N95" s="906"/>
      <c r="O95" s="907"/>
      <c r="P95" s="907"/>
      <c r="Q95" s="236" t="s">
        <v>39</v>
      </c>
      <c r="R95" s="945"/>
    </row>
    <row r="96" spans="1:19" ht="15" thickBot="1">
      <c r="A96" s="900" t="s">
        <v>63</v>
      </c>
      <c r="B96" s="14" t="s">
        <v>147</v>
      </c>
      <c r="C96" s="71" t="s">
        <v>21</v>
      </c>
      <c r="D96" s="38"/>
      <c r="E96" s="38"/>
      <c r="F96" s="38"/>
      <c r="G96" s="38"/>
      <c r="H96" s="284"/>
      <c r="I96" s="284"/>
      <c r="J96" s="284"/>
      <c r="K96" s="196"/>
      <c r="L96" s="260"/>
      <c r="M96" s="932">
        <f>SUM(K96:K102)</f>
        <v>50</v>
      </c>
      <c r="N96" s="904">
        <f>P96/M96</f>
        <v>0.72</v>
      </c>
      <c r="O96" s="902">
        <f>2</f>
        <v>2</v>
      </c>
      <c r="P96" s="902">
        <f>SUM(G96:G102)</f>
        <v>36</v>
      </c>
      <c r="Q96" s="204"/>
      <c r="R96" s="945"/>
    </row>
    <row r="97" spans="1:19" ht="15" thickBot="1">
      <c r="A97" s="901"/>
      <c r="B97" s="14" t="s">
        <v>148</v>
      </c>
      <c r="C97" s="68" t="s">
        <v>23</v>
      </c>
      <c r="D97" s="23"/>
      <c r="E97" s="23"/>
      <c r="F97" s="23"/>
      <c r="G97" s="23"/>
      <c r="H97" s="285"/>
      <c r="I97" s="285"/>
      <c r="J97" s="285"/>
      <c r="K97" s="24"/>
      <c r="L97" s="261"/>
      <c r="M97" s="933"/>
      <c r="N97" s="905"/>
      <c r="O97" s="903"/>
      <c r="P97" s="903"/>
      <c r="Q97" s="204"/>
      <c r="R97" s="945"/>
    </row>
    <row r="98" spans="1:19" ht="16.149999999999999" thickBot="1">
      <c r="A98" s="901"/>
      <c r="B98" s="49" t="s">
        <v>149</v>
      </c>
      <c r="C98" s="70" t="s">
        <v>29</v>
      </c>
      <c r="D98" s="36" t="s">
        <v>24</v>
      </c>
      <c r="E98" s="36" t="s">
        <v>25</v>
      </c>
      <c r="F98" s="36" t="s">
        <v>33</v>
      </c>
      <c r="G98" s="36">
        <f>13</f>
        <v>13</v>
      </c>
      <c r="H98" s="278">
        <f>83.5</f>
        <v>83.5</v>
      </c>
      <c r="I98" s="278">
        <f>32.5</f>
        <v>32.5</v>
      </c>
      <c r="J98" s="278">
        <f>116.5</f>
        <v>116.5</v>
      </c>
      <c r="K98" s="36">
        <f>19</f>
        <v>19</v>
      </c>
      <c r="L98" s="262">
        <f t="shared" si="1"/>
        <v>8.9615384615384617</v>
      </c>
      <c r="M98" s="933"/>
      <c r="N98" s="905"/>
      <c r="O98" s="903"/>
      <c r="P98" s="903"/>
      <c r="Q98" s="127" t="s">
        <v>150</v>
      </c>
      <c r="R98" s="945"/>
    </row>
    <row r="99" spans="1:19" ht="16.149999999999999" thickBot="1">
      <c r="A99" s="901"/>
      <c r="B99" s="72" t="s">
        <v>151</v>
      </c>
      <c r="C99" s="82" t="s">
        <v>31</v>
      </c>
      <c r="D99" s="44" t="s">
        <v>24</v>
      </c>
      <c r="E99" s="44" t="s">
        <v>25</v>
      </c>
      <c r="F99" s="44" t="s">
        <v>131</v>
      </c>
      <c r="G99" s="44"/>
      <c r="H99" s="287"/>
      <c r="I99" s="287"/>
      <c r="J99" s="287"/>
      <c r="K99" s="44"/>
      <c r="L99" s="265"/>
      <c r="M99" s="933"/>
      <c r="N99" s="905"/>
      <c r="O99" s="903"/>
      <c r="P99" s="903"/>
      <c r="Q99" s="127"/>
      <c r="R99" s="945"/>
    </row>
    <row r="100" spans="1:19" ht="16.149999999999999" thickBot="1">
      <c r="A100" s="901"/>
      <c r="B100" s="49" t="s">
        <v>152</v>
      </c>
      <c r="C100" s="70" t="s">
        <v>36</v>
      </c>
      <c r="D100" s="36" t="s">
        <v>24</v>
      </c>
      <c r="E100" s="36" t="s">
        <v>25</v>
      </c>
      <c r="F100" s="36" t="s">
        <v>33</v>
      </c>
      <c r="G100" s="36">
        <f>23</f>
        <v>23</v>
      </c>
      <c r="H100" s="278">
        <f>157.5</f>
        <v>157.5</v>
      </c>
      <c r="I100" s="278">
        <f>57.5</f>
        <v>57.5</v>
      </c>
      <c r="J100" s="278">
        <f>SUM(H100:I100)</f>
        <v>215</v>
      </c>
      <c r="K100" s="36">
        <f>31</f>
        <v>31</v>
      </c>
      <c r="L100" s="262">
        <f t="shared" si="1"/>
        <v>9.3478260869565215</v>
      </c>
      <c r="M100" s="933"/>
      <c r="N100" s="905"/>
      <c r="O100" s="903"/>
      <c r="P100" s="903"/>
      <c r="Q100" s="127" t="s">
        <v>39</v>
      </c>
      <c r="R100" s="945"/>
      <c r="S100" s="203" t="s">
        <v>153</v>
      </c>
    </row>
    <row r="101" spans="1:19" ht="16.149999999999999" thickBot="1">
      <c r="A101" s="901"/>
      <c r="B101" s="72" t="s">
        <v>154</v>
      </c>
      <c r="C101" s="82" t="s">
        <v>38</v>
      </c>
      <c r="D101" s="44" t="s">
        <v>24</v>
      </c>
      <c r="E101" s="44" t="s">
        <v>25</v>
      </c>
      <c r="F101" s="44" t="s">
        <v>92</v>
      </c>
      <c r="G101" s="44"/>
      <c r="H101" s="287"/>
      <c r="I101" s="287"/>
      <c r="J101" s="287"/>
      <c r="K101" s="44"/>
      <c r="L101" s="270"/>
      <c r="M101" s="933"/>
      <c r="N101" s="905"/>
      <c r="O101" s="903"/>
      <c r="P101" s="903"/>
      <c r="Q101" s="127"/>
      <c r="R101" s="945"/>
    </row>
    <row r="102" spans="1:19" ht="15" thickBot="1">
      <c r="A102" s="928"/>
      <c r="B102" s="205" t="s">
        <v>155</v>
      </c>
      <c r="C102" s="258" t="s">
        <v>41</v>
      </c>
      <c r="D102" s="259"/>
      <c r="E102" s="259" t="s">
        <v>156</v>
      </c>
      <c r="F102" s="259"/>
      <c r="G102" s="259"/>
      <c r="H102" s="296"/>
      <c r="I102" s="296"/>
      <c r="J102" s="296"/>
      <c r="K102" s="259"/>
      <c r="L102" s="271"/>
      <c r="M102" s="934"/>
      <c r="N102" s="906"/>
      <c r="O102" s="907"/>
      <c r="P102" s="907"/>
      <c r="Q102" s="204"/>
      <c r="R102" s="945"/>
    </row>
    <row r="103" spans="1:19" ht="15" thickBot="1">
      <c r="A103" s="900" t="s">
        <v>19</v>
      </c>
      <c r="B103" s="254" t="s">
        <v>157</v>
      </c>
      <c r="C103" s="255" t="s">
        <v>21</v>
      </c>
      <c r="D103" s="256"/>
      <c r="E103" s="256" t="s">
        <v>156</v>
      </c>
      <c r="F103" s="256"/>
      <c r="G103" s="256"/>
      <c r="H103" s="297"/>
      <c r="I103" s="297"/>
      <c r="J103" s="297"/>
      <c r="K103" s="256"/>
      <c r="L103" s="271"/>
      <c r="M103" s="902">
        <f>SUM(K103:K110)</f>
        <v>56</v>
      </c>
      <c r="N103" s="904">
        <f>P103/M103</f>
        <v>0.8214285714285714</v>
      </c>
      <c r="O103" s="902">
        <f>2</f>
        <v>2</v>
      </c>
      <c r="P103" s="902">
        <f>SUM(G103:G110)</f>
        <v>46</v>
      </c>
      <c r="Q103" s="257"/>
      <c r="R103" s="945"/>
    </row>
    <row r="104" spans="1:19" ht="16.149999999999999" thickBot="1">
      <c r="A104" s="901"/>
      <c r="B104" s="205" t="s">
        <v>158</v>
      </c>
      <c r="C104" s="206" t="s">
        <v>23</v>
      </c>
      <c r="D104" s="207"/>
      <c r="E104" s="207" t="s">
        <v>156</v>
      </c>
      <c r="F104" s="207"/>
      <c r="G104" s="207"/>
      <c r="H104" s="298"/>
      <c r="I104" s="298"/>
      <c r="J104" s="298"/>
      <c r="K104" s="207"/>
      <c r="L104" s="271"/>
      <c r="M104" s="903"/>
      <c r="N104" s="905"/>
      <c r="O104" s="903"/>
      <c r="P104" s="903"/>
      <c r="Q104" s="127"/>
      <c r="R104" s="945"/>
    </row>
    <row r="105" spans="1:19" ht="16.149999999999999" thickBot="1">
      <c r="A105" s="901"/>
      <c r="B105" s="205" t="s">
        <v>159</v>
      </c>
      <c r="C105" s="206" t="s">
        <v>29</v>
      </c>
      <c r="D105" s="207"/>
      <c r="E105" s="207" t="s">
        <v>156</v>
      </c>
      <c r="F105" s="207"/>
      <c r="G105" s="207"/>
      <c r="H105" s="298"/>
      <c r="I105" s="298"/>
      <c r="J105" s="298"/>
      <c r="K105" s="207"/>
      <c r="L105" s="271"/>
      <c r="M105" s="903"/>
      <c r="N105" s="905"/>
      <c r="O105" s="903"/>
      <c r="P105" s="903"/>
      <c r="Q105" s="127"/>
      <c r="R105" s="945"/>
    </row>
    <row r="106" spans="1:19" ht="16.149999999999999" thickBot="1">
      <c r="A106" s="901"/>
      <c r="B106" s="20" t="s">
        <v>160</v>
      </c>
      <c r="C106" s="250" t="s">
        <v>31</v>
      </c>
      <c r="D106" s="251" t="s">
        <v>24</v>
      </c>
      <c r="E106" s="251" t="s">
        <v>25</v>
      </c>
      <c r="F106" s="251" t="s">
        <v>131</v>
      </c>
      <c r="G106" s="251"/>
      <c r="H106" s="299"/>
      <c r="I106" s="299"/>
      <c r="J106" s="299"/>
      <c r="K106" s="251"/>
      <c r="L106" s="270"/>
      <c r="M106" s="903"/>
      <c r="N106" s="905"/>
      <c r="O106" s="903"/>
      <c r="P106" s="903"/>
      <c r="Q106" s="127"/>
      <c r="R106" s="945"/>
    </row>
    <row r="107" spans="1:19" ht="16.149999999999999" thickBot="1">
      <c r="A107" s="901"/>
      <c r="B107" s="20" t="s">
        <v>161</v>
      </c>
      <c r="C107" s="268" t="s">
        <v>36</v>
      </c>
      <c r="D107" s="269" t="s">
        <v>24</v>
      </c>
      <c r="E107" s="269" t="s">
        <v>25</v>
      </c>
      <c r="F107" s="269" t="s">
        <v>131</v>
      </c>
      <c r="G107" s="269"/>
      <c r="H107" s="300"/>
      <c r="I107" s="300"/>
      <c r="J107" s="300"/>
      <c r="K107" s="269"/>
      <c r="L107" s="270"/>
      <c r="M107" s="903"/>
      <c r="N107" s="905"/>
      <c r="O107" s="903"/>
      <c r="P107" s="903"/>
      <c r="Q107" s="127"/>
      <c r="R107" s="962"/>
    </row>
    <row r="108" spans="1:19" ht="16.5" customHeight="1" thickBot="1">
      <c r="A108" s="901"/>
      <c r="B108" s="20" t="s">
        <v>162</v>
      </c>
      <c r="C108" s="250" t="s">
        <v>38</v>
      </c>
      <c r="D108" s="251" t="s">
        <v>24</v>
      </c>
      <c r="E108" s="251" t="s">
        <v>25</v>
      </c>
      <c r="F108" s="251" t="s">
        <v>131</v>
      </c>
      <c r="G108" s="251"/>
      <c r="H108" s="299"/>
      <c r="I108" s="299"/>
      <c r="J108" s="299"/>
      <c r="K108" s="251"/>
      <c r="L108" s="270"/>
      <c r="M108" s="903"/>
      <c r="N108" s="905"/>
      <c r="O108" s="903"/>
      <c r="P108" s="903"/>
      <c r="Q108" s="127"/>
      <c r="R108" s="944" t="s">
        <v>163</v>
      </c>
    </row>
    <row r="109" spans="1:19" ht="16.5" customHeight="1" thickBot="1">
      <c r="A109" s="901"/>
      <c r="B109" s="49" t="s">
        <v>162</v>
      </c>
      <c r="C109" s="70" t="s">
        <v>38</v>
      </c>
      <c r="D109" s="36" t="s">
        <v>164</v>
      </c>
      <c r="E109" s="36" t="s">
        <v>25</v>
      </c>
      <c r="F109" s="36" t="s">
        <v>33</v>
      </c>
      <c r="G109" s="36">
        <f>23</f>
        <v>23</v>
      </c>
      <c r="H109" s="278">
        <f>170-I109</f>
        <v>112.5</v>
      </c>
      <c r="I109" s="278">
        <f>57.5</f>
        <v>57.5</v>
      </c>
      <c r="J109" s="278">
        <f>179</f>
        <v>179</v>
      </c>
      <c r="K109" s="36">
        <f>32</f>
        <v>32</v>
      </c>
      <c r="L109" s="262">
        <f t="shared" si="1"/>
        <v>7.7826086956521738</v>
      </c>
      <c r="M109" s="903"/>
      <c r="N109" s="905"/>
      <c r="O109" s="903"/>
      <c r="P109" s="903"/>
      <c r="Q109" s="127" t="s">
        <v>39</v>
      </c>
      <c r="R109" s="945"/>
    </row>
    <row r="110" spans="1:19" ht="16.5" customHeight="1" thickBot="1">
      <c r="A110" s="928"/>
      <c r="B110" s="107" t="s">
        <v>165</v>
      </c>
      <c r="C110" s="74" t="s">
        <v>41</v>
      </c>
      <c r="D110" s="39" t="s">
        <v>24</v>
      </c>
      <c r="E110" s="39" t="s">
        <v>25</v>
      </c>
      <c r="F110" s="39" t="s">
        <v>33</v>
      </c>
      <c r="G110" s="39">
        <f>23</f>
        <v>23</v>
      </c>
      <c r="H110" s="283">
        <f>163.5</f>
        <v>163.5</v>
      </c>
      <c r="I110" s="283">
        <f>57.5</f>
        <v>57.5</v>
      </c>
      <c r="J110" s="283">
        <f>213</f>
        <v>213</v>
      </c>
      <c r="K110" s="39">
        <f>24</f>
        <v>24</v>
      </c>
      <c r="L110" s="262">
        <f t="shared" si="1"/>
        <v>9.2608695652173907</v>
      </c>
      <c r="M110" s="907"/>
      <c r="N110" s="906"/>
      <c r="O110" s="907"/>
      <c r="P110" s="907"/>
      <c r="Q110" s="127" t="s">
        <v>39</v>
      </c>
      <c r="R110" s="945"/>
    </row>
    <row r="111" spans="1:19" ht="16.5" customHeight="1" thickBot="1">
      <c r="A111" s="900" t="s">
        <v>42</v>
      </c>
      <c r="B111" s="49" t="s">
        <v>166</v>
      </c>
      <c r="C111" s="69" t="s">
        <v>21</v>
      </c>
      <c r="D111" s="54" t="s">
        <v>24</v>
      </c>
      <c r="E111" s="54" t="s">
        <v>25</v>
      </c>
      <c r="F111" s="54" t="s">
        <v>33</v>
      </c>
      <c r="G111" s="54">
        <f>26</f>
        <v>26</v>
      </c>
      <c r="H111" s="290">
        <f>253</f>
        <v>253</v>
      </c>
      <c r="I111" s="290">
        <f>65</f>
        <v>65</v>
      </c>
      <c r="J111" s="290">
        <f>318</f>
        <v>318</v>
      </c>
      <c r="K111" s="96">
        <f>39</f>
        <v>39</v>
      </c>
      <c r="L111" s="277">
        <f t="shared" si="1"/>
        <v>12.23076923076923</v>
      </c>
      <c r="M111" s="902">
        <f>SUM(K111:K123)</f>
        <v>323</v>
      </c>
      <c r="N111" s="904">
        <f>P111/M111</f>
        <v>0.76160990712074306</v>
      </c>
      <c r="O111" s="902">
        <f>9</f>
        <v>9</v>
      </c>
      <c r="P111" s="902">
        <f>SUM(G111:G123)</f>
        <v>246</v>
      </c>
      <c r="Q111" s="127" t="s">
        <v>39</v>
      </c>
      <c r="R111" s="945"/>
      <c r="S111" t="s">
        <v>153</v>
      </c>
    </row>
    <row r="112" spans="1:19" ht="16.5" customHeight="1" thickBot="1">
      <c r="A112" s="901"/>
      <c r="B112" s="49" t="s">
        <v>167</v>
      </c>
      <c r="C112" s="70" t="s">
        <v>23</v>
      </c>
      <c r="D112" s="36" t="s">
        <v>62</v>
      </c>
      <c r="E112" s="36" t="s">
        <v>25</v>
      </c>
      <c r="F112" s="36" t="s">
        <v>33</v>
      </c>
      <c r="G112" s="36">
        <f>26</f>
        <v>26</v>
      </c>
      <c r="H112" s="278">
        <f>239</f>
        <v>239</v>
      </c>
      <c r="I112" s="278">
        <f>65</f>
        <v>65</v>
      </c>
      <c r="J112" s="278">
        <f>308</f>
        <v>308</v>
      </c>
      <c r="K112" s="79">
        <f>30</f>
        <v>30</v>
      </c>
      <c r="L112" s="277">
        <f t="shared" si="1"/>
        <v>11.846153846153847</v>
      </c>
      <c r="M112" s="903"/>
      <c r="N112" s="905"/>
      <c r="O112" s="903"/>
      <c r="P112" s="903"/>
      <c r="Q112" s="127" t="s">
        <v>39</v>
      </c>
      <c r="R112" s="945"/>
      <c r="S112" t="s">
        <v>153</v>
      </c>
    </row>
    <row r="113" spans="1:19" ht="16.5" customHeight="1" thickBot="1">
      <c r="A113" s="901"/>
      <c r="B113" s="49" t="s">
        <v>168</v>
      </c>
      <c r="C113" s="70" t="s">
        <v>29</v>
      </c>
      <c r="D113" s="36" t="s">
        <v>24</v>
      </c>
      <c r="E113" s="36" t="s">
        <v>25</v>
      </c>
      <c r="F113" s="36" t="s">
        <v>26</v>
      </c>
      <c r="G113" s="36">
        <f>26</f>
        <v>26</v>
      </c>
      <c r="H113" s="278">
        <f>260</f>
        <v>260</v>
      </c>
      <c r="I113" s="278">
        <f>65</f>
        <v>65</v>
      </c>
      <c r="J113" s="278">
        <f>325</f>
        <v>325</v>
      </c>
      <c r="K113" s="36">
        <f>25</f>
        <v>25</v>
      </c>
      <c r="L113" s="277">
        <f t="shared" si="1"/>
        <v>12.5</v>
      </c>
      <c r="M113" s="903"/>
      <c r="N113" s="905"/>
      <c r="O113" s="903"/>
      <c r="P113" s="903"/>
      <c r="Q113" s="127" t="s">
        <v>39</v>
      </c>
      <c r="R113" s="945"/>
      <c r="S113" t="s">
        <v>153</v>
      </c>
    </row>
    <row r="114" spans="1:19" ht="16.5" customHeight="1" thickBot="1">
      <c r="A114" s="901"/>
      <c r="B114" s="245" t="s">
        <v>168</v>
      </c>
      <c r="C114" s="252" t="s">
        <v>29</v>
      </c>
      <c r="D114" s="253" t="s">
        <v>96</v>
      </c>
      <c r="E114" s="253" t="s">
        <v>86</v>
      </c>
      <c r="F114" s="253" t="s">
        <v>131</v>
      </c>
      <c r="G114" s="253"/>
      <c r="H114" s="253"/>
      <c r="I114" s="253"/>
      <c r="J114" s="253"/>
      <c r="K114" s="253"/>
      <c r="L114" s="275"/>
      <c r="M114" s="903"/>
      <c r="N114" s="905"/>
      <c r="O114" s="903"/>
      <c r="P114" s="903"/>
      <c r="Q114" s="127"/>
      <c r="R114" s="945"/>
    </row>
    <row r="115" spans="1:19" ht="16.5" customHeight="1" thickBot="1">
      <c r="A115" s="901"/>
      <c r="B115" s="72" t="s">
        <v>168</v>
      </c>
      <c r="C115" s="82" t="s">
        <v>29</v>
      </c>
      <c r="D115" s="44" t="s">
        <v>115</v>
      </c>
      <c r="E115" s="44" t="s">
        <v>25</v>
      </c>
      <c r="F115" s="44" t="s">
        <v>131</v>
      </c>
      <c r="G115" s="44"/>
      <c r="H115" s="44"/>
      <c r="I115" s="44"/>
      <c r="J115" s="44"/>
      <c r="K115" s="44"/>
      <c r="L115" s="276"/>
      <c r="M115" s="903"/>
      <c r="N115" s="905"/>
      <c r="O115" s="903"/>
      <c r="P115" s="903"/>
      <c r="Q115" s="127"/>
      <c r="R115" s="945"/>
      <c r="S115" t="s">
        <v>153</v>
      </c>
    </row>
    <row r="116" spans="1:19" ht="16.5" customHeight="1" thickBot="1">
      <c r="A116" s="901"/>
      <c r="B116" s="245" t="s">
        <v>169</v>
      </c>
      <c r="C116" s="252" t="s">
        <v>50</v>
      </c>
      <c r="D116" s="253" t="s">
        <v>24</v>
      </c>
      <c r="E116" s="253" t="s">
        <v>25</v>
      </c>
      <c r="F116" s="253" t="s">
        <v>33</v>
      </c>
      <c r="G116" s="253"/>
      <c r="H116" s="253"/>
      <c r="I116" s="253"/>
      <c r="J116" s="253"/>
      <c r="K116" s="253"/>
      <c r="L116" s="275"/>
      <c r="M116" s="903"/>
      <c r="N116" s="905"/>
      <c r="O116" s="903"/>
      <c r="P116" s="903"/>
      <c r="Q116" s="127" t="s">
        <v>39</v>
      </c>
      <c r="R116" s="945"/>
      <c r="S116" t="s">
        <v>170</v>
      </c>
    </row>
    <row r="117" spans="1:19" ht="16.5" customHeight="1" thickBot="1">
      <c r="A117" s="901"/>
      <c r="B117" s="49" t="s">
        <v>169</v>
      </c>
      <c r="C117" s="70" t="s">
        <v>50</v>
      </c>
      <c r="D117" s="36" t="s">
        <v>96</v>
      </c>
      <c r="E117" s="36" t="s">
        <v>86</v>
      </c>
      <c r="F117" s="36" t="s">
        <v>26</v>
      </c>
      <c r="G117" s="36">
        <f>23</f>
        <v>23</v>
      </c>
      <c r="H117" s="278">
        <f>208</f>
        <v>208</v>
      </c>
      <c r="I117" s="278"/>
      <c r="J117" s="278">
        <f>208</f>
        <v>208</v>
      </c>
      <c r="K117" s="36">
        <f>36</f>
        <v>36</v>
      </c>
      <c r="L117" s="181">
        <f>J117/G117</f>
        <v>9.0434782608695645</v>
      </c>
      <c r="M117" s="903"/>
      <c r="N117" s="905"/>
      <c r="O117" s="903"/>
      <c r="P117" s="903"/>
      <c r="Q117" s="127"/>
      <c r="R117" s="945"/>
    </row>
    <row r="118" spans="1:19" ht="16.5" customHeight="1" thickBot="1">
      <c r="A118" s="901"/>
      <c r="B118" s="304" t="s">
        <v>171</v>
      </c>
      <c r="C118" s="302" t="s">
        <v>36</v>
      </c>
      <c r="D118" s="104" t="s">
        <v>24</v>
      </c>
      <c r="E118" s="104" t="s">
        <v>25</v>
      </c>
      <c r="F118" s="104" t="s">
        <v>33</v>
      </c>
      <c r="G118" s="303">
        <f>20</f>
        <v>20</v>
      </c>
      <c r="H118" s="104">
        <f>135</f>
        <v>135</v>
      </c>
      <c r="I118" s="104">
        <f>50</f>
        <v>50</v>
      </c>
      <c r="J118" s="104">
        <f>185</f>
        <v>185</v>
      </c>
      <c r="K118" s="303">
        <f>42</f>
        <v>42</v>
      </c>
      <c r="L118" s="181">
        <f>J118/G118</f>
        <v>9.25</v>
      </c>
      <c r="M118" s="903"/>
      <c r="N118" s="905"/>
      <c r="O118" s="903"/>
      <c r="P118" s="903"/>
      <c r="Q118" s="127" t="s">
        <v>150</v>
      </c>
      <c r="R118" s="945"/>
      <c r="S118" t="s">
        <v>153</v>
      </c>
    </row>
    <row r="119" spans="1:19" ht="16.5" customHeight="1" thickBot="1">
      <c r="A119" s="901"/>
      <c r="B119" s="72" t="s">
        <v>171</v>
      </c>
      <c r="C119" s="82" t="s">
        <v>36</v>
      </c>
      <c r="D119" s="44" t="s">
        <v>115</v>
      </c>
      <c r="E119" s="44" t="s">
        <v>25</v>
      </c>
      <c r="F119" s="44" t="s">
        <v>92</v>
      </c>
      <c r="G119" s="44"/>
      <c r="H119" s="44"/>
      <c r="I119" s="44"/>
      <c r="J119" s="44"/>
      <c r="K119" s="44"/>
      <c r="L119" s="238"/>
      <c r="M119" s="903"/>
      <c r="N119" s="905"/>
      <c r="O119" s="903"/>
      <c r="P119" s="903"/>
      <c r="Q119" s="127"/>
      <c r="R119" s="945"/>
      <c r="S119" t="s">
        <v>172</v>
      </c>
    </row>
    <row r="120" spans="1:19" ht="16.5" customHeight="1" thickBot="1">
      <c r="A120" s="901"/>
      <c r="B120" s="49" t="s">
        <v>173</v>
      </c>
      <c r="C120" s="70" t="s">
        <v>38</v>
      </c>
      <c r="D120" s="36" t="s">
        <v>24</v>
      </c>
      <c r="E120" s="36" t="s">
        <v>25</v>
      </c>
      <c r="F120" s="36" t="s">
        <v>33</v>
      </c>
      <c r="G120" s="36">
        <f>30</f>
        <v>30</v>
      </c>
      <c r="H120" s="278">
        <f>165</f>
        <v>165</v>
      </c>
      <c r="I120" s="278">
        <f>30*2.5</f>
        <v>75</v>
      </c>
      <c r="J120" s="278">
        <f>215</f>
        <v>215</v>
      </c>
      <c r="K120" s="36">
        <f>50</f>
        <v>50</v>
      </c>
      <c r="L120" s="181">
        <f>J120/G120</f>
        <v>7.166666666666667</v>
      </c>
      <c r="M120" s="903"/>
      <c r="N120" s="905"/>
      <c r="O120" s="903"/>
      <c r="P120" s="903"/>
      <c r="Q120" s="127" t="s">
        <v>39</v>
      </c>
      <c r="R120" s="945"/>
    </row>
    <row r="121" spans="1:19" ht="16.5" customHeight="1" thickBot="1">
      <c r="A121" s="901"/>
      <c r="B121" s="49" t="s">
        <v>173</v>
      </c>
      <c r="C121" s="70" t="s">
        <v>38</v>
      </c>
      <c r="D121" s="36" t="s">
        <v>115</v>
      </c>
      <c r="E121" s="36" t="s">
        <v>25</v>
      </c>
      <c r="F121" s="36" t="s">
        <v>33</v>
      </c>
      <c r="G121" s="36">
        <f>36</f>
        <v>36</v>
      </c>
      <c r="H121" s="278">
        <f>270</f>
        <v>270</v>
      </c>
      <c r="I121" s="278">
        <f>2.5*36</f>
        <v>90</v>
      </c>
      <c r="J121" s="278">
        <f>360</f>
        <v>360</v>
      </c>
      <c r="K121" s="36">
        <f>30</f>
        <v>30</v>
      </c>
      <c r="L121" s="181">
        <f>J121/G121</f>
        <v>10</v>
      </c>
      <c r="M121" s="903"/>
      <c r="N121" s="905"/>
      <c r="O121" s="903"/>
      <c r="P121" s="903"/>
      <c r="Q121" s="127" t="s">
        <v>39</v>
      </c>
      <c r="R121" s="945"/>
      <c r="S121" t="s">
        <v>172</v>
      </c>
    </row>
    <row r="122" spans="1:19" ht="16.5" customHeight="1" thickBot="1">
      <c r="A122" s="901"/>
      <c r="B122" s="49" t="s">
        <v>174</v>
      </c>
      <c r="C122" s="70" t="s">
        <v>41</v>
      </c>
      <c r="D122" s="36" t="s">
        <v>24</v>
      </c>
      <c r="E122" s="36" t="s">
        <v>25</v>
      </c>
      <c r="F122" s="36" t="s">
        <v>26</v>
      </c>
      <c r="G122" s="36">
        <f>19</f>
        <v>19</v>
      </c>
      <c r="H122" s="278">
        <f>137.5</f>
        <v>137.5</v>
      </c>
      <c r="I122" s="278">
        <f>47.5</f>
        <v>47.5</v>
      </c>
      <c r="J122" s="278">
        <f>185</f>
        <v>185</v>
      </c>
      <c r="K122" s="36">
        <f>26</f>
        <v>26</v>
      </c>
      <c r="L122" s="181">
        <f>J122/G122</f>
        <v>9.7368421052631575</v>
      </c>
      <c r="M122" s="903"/>
      <c r="N122" s="905"/>
      <c r="O122" s="903"/>
      <c r="P122" s="903"/>
      <c r="Q122" s="127" t="s">
        <v>39</v>
      </c>
      <c r="R122" s="945"/>
    </row>
    <row r="123" spans="1:19" ht="16.5" customHeight="1" thickBot="1">
      <c r="A123" s="928"/>
      <c r="B123" s="107" t="s">
        <v>174</v>
      </c>
      <c r="C123" s="74" t="s">
        <v>41</v>
      </c>
      <c r="D123" s="39" t="s">
        <v>115</v>
      </c>
      <c r="E123" s="39" t="s">
        <v>25</v>
      </c>
      <c r="F123" s="39" t="s">
        <v>33</v>
      </c>
      <c r="G123" s="39">
        <f>40</f>
        <v>40</v>
      </c>
      <c r="H123" s="283">
        <f>237.5</f>
        <v>237.5</v>
      </c>
      <c r="I123" s="283">
        <f>90</f>
        <v>90</v>
      </c>
      <c r="J123" s="283">
        <v>327.5</v>
      </c>
      <c r="K123" s="39">
        <f>45</f>
        <v>45</v>
      </c>
      <c r="L123" s="312">
        <f>J123/G123</f>
        <v>8.1875</v>
      </c>
      <c r="M123" s="907"/>
      <c r="N123" s="906"/>
      <c r="O123" s="907"/>
      <c r="P123" s="907"/>
      <c r="Q123" s="127" t="s">
        <v>39</v>
      </c>
      <c r="R123" s="945"/>
    </row>
    <row r="124" spans="1:19" ht="15.75" customHeight="1" thickBot="1">
      <c r="A124" s="900" t="s">
        <v>175</v>
      </c>
      <c r="B124" s="82" t="s">
        <v>176</v>
      </c>
      <c r="C124" s="44" t="s">
        <v>44</v>
      </c>
      <c r="D124" s="44" t="s">
        <v>177</v>
      </c>
      <c r="E124" s="44" t="s">
        <v>146</v>
      </c>
      <c r="F124" s="44" t="s">
        <v>92</v>
      </c>
      <c r="G124" s="44"/>
      <c r="H124" s="287"/>
      <c r="I124" s="287"/>
      <c r="J124" s="287"/>
      <c r="K124" s="44"/>
      <c r="L124" s="148"/>
      <c r="M124" s="902">
        <f>SUM(K125:K130)</f>
        <v>131</v>
      </c>
      <c r="N124" s="904">
        <f>P124/M124</f>
        <v>0.73282442748091603</v>
      </c>
      <c r="O124" s="902">
        <f>5</f>
        <v>5</v>
      </c>
      <c r="P124" s="902">
        <f>SUM(G125:G130)</f>
        <v>96</v>
      </c>
      <c r="Q124" s="87"/>
      <c r="R124" s="945"/>
    </row>
    <row r="125" spans="1:19" ht="16.5" customHeight="1" thickBot="1">
      <c r="A125" s="903"/>
      <c r="B125" s="70" t="s">
        <v>178</v>
      </c>
      <c r="C125" s="36" t="s">
        <v>23</v>
      </c>
      <c r="D125" s="36" t="s">
        <v>84</v>
      </c>
      <c r="E125" s="36" t="s">
        <v>86</v>
      </c>
      <c r="F125" s="36" t="s">
        <v>97</v>
      </c>
      <c r="G125" s="36">
        <f>30</f>
        <v>30</v>
      </c>
      <c r="H125" s="278">
        <f>395</f>
        <v>395</v>
      </c>
      <c r="I125" s="278"/>
      <c r="J125" s="278">
        <f>395</f>
        <v>395</v>
      </c>
      <c r="K125" s="36">
        <f>41</f>
        <v>41</v>
      </c>
      <c r="L125" s="123">
        <f>J125/G125</f>
        <v>13.166666666666666</v>
      </c>
      <c r="M125" s="903"/>
      <c r="N125" s="905"/>
      <c r="O125" s="903"/>
      <c r="P125" s="903"/>
      <c r="Q125" s="127"/>
      <c r="R125" s="945"/>
    </row>
    <row r="126" spans="1:19" ht="16.5" customHeight="1" thickBot="1">
      <c r="A126" s="903"/>
      <c r="B126" s="70" t="s">
        <v>179</v>
      </c>
      <c r="C126" s="36" t="s">
        <v>29</v>
      </c>
      <c r="D126" s="36" t="s">
        <v>62</v>
      </c>
      <c r="E126" s="36" t="s">
        <v>25</v>
      </c>
      <c r="F126" s="36" t="s">
        <v>26</v>
      </c>
      <c r="G126" s="36">
        <f>13</f>
        <v>13</v>
      </c>
      <c r="H126" s="278">
        <f>135+(8.5*5)</f>
        <v>177.5</v>
      </c>
      <c r="I126" s="278">
        <f>8*2.5</f>
        <v>20</v>
      </c>
      <c r="J126" s="278">
        <f>135+(5*15)</f>
        <v>210</v>
      </c>
      <c r="K126" s="36">
        <f>18</f>
        <v>18</v>
      </c>
      <c r="L126" s="123">
        <f>J126/G126</f>
        <v>16.153846153846153</v>
      </c>
      <c r="M126" s="903"/>
      <c r="N126" s="905"/>
      <c r="O126" s="903"/>
      <c r="P126" s="903"/>
      <c r="Q126" s="127" t="s">
        <v>150</v>
      </c>
      <c r="R126" s="945"/>
    </row>
    <row r="127" spans="1:19" ht="16.5" customHeight="1" thickBot="1">
      <c r="A127" s="903"/>
      <c r="B127" s="70" t="s">
        <v>180</v>
      </c>
      <c r="C127" s="36" t="s">
        <v>50</v>
      </c>
      <c r="D127" s="36" t="s">
        <v>24</v>
      </c>
      <c r="E127" s="36" t="s">
        <v>25</v>
      </c>
      <c r="F127" s="36" t="s">
        <v>26</v>
      </c>
      <c r="G127" s="36">
        <f>28</f>
        <v>28</v>
      </c>
      <c r="H127" s="278">
        <f>280-(2.5*28)</f>
        <v>210</v>
      </c>
      <c r="I127" s="278">
        <f>70</f>
        <v>70</v>
      </c>
      <c r="J127" s="278">
        <f>280</f>
        <v>280</v>
      </c>
      <c r="K127" s="36">
        <f>34</f>
        <v>34</v>
      </c>
      <c r="L127" s="123">
        <f>J127/G127</f>
        <v>10</v>
      </c>
      <c r="M127" s="903"/>
      <c r="N127" s="905"/>
      <c r="O127" s="903"/>
      <c r="P127" s="903"/>
      <c r="Q127" s="127" t="s">
        <v>39</v>
      </c>
      <c r="R127" s="945"/>
    </row>
    <row r="128" spans="1:19" ht="16.5" customHeight="1" thickBot="1">
      <c r="A128" s="903"/>
      <c r="B128" s="70" t="s">
        <v>181</v>
      </c>
      <c r="C128" s="36" t="s">
        <v>36</v>
      </c>
      <c r="D128" s="36" t="s">
        <v>24</v>
      </c>
      <c r="E128" s="36" t="s">
        <v>25</v>
      </c>
      <c r="F128" s="36" t="s">
        <v>26</v>
      </c>
      <c r="G128" s="36">
        <f>15</f>
        <v>15</v>
      </c>
      <c r="H128" s="278">
        <f>107.5</f>
        <v>107.5</v>
      </c>
      <c r="I128" s="278">
        <f>15*2.5</f>
        <v>37.5</v>
      </c>
      <c r="J128" s="278">
        <f>145</f>
        <v>145</v>
      </c>
      <c r="K128" s="36">
        <f>18</f>
        <v>18</v>
      </c>
      <c r="L128" s="123">
        <f>J128/G128</f>
        <v>9.6666666666666661</v>
      </c>
      <c r="M128" s="903"/>
      <c r="N128" s="905"/>
      <c r="O128" s="903"/>
      <c r="P128" s="903"/>
      <c r="Q128" s="127" t="s">
        <v>150</v>
      </c>
      <c r="R128" s="945"/>
      <c r="S128" t="s">
        <v>182</v>
      </c>
    </row>
    <row r="129" spans="1:19" ht="16.5" customHeight="1" thickBot="1">
      <c r="A129" s="903"/>
      <c r="B129" s="82" t="s">
        <v>183</v>
      </c>
      <c r="C129" s="44" t="s">
        <v>38</v>
      </c>
      <c r="D129" s="44" t="s">
        <v>24</v>
      </c>
      <c r="E129" s="44" t="s">
        <v>25</v>
      </c>
      <c r="F129" s="44" t="s">
        <v>92</v>
      </c>
      <c r="G129" s="44"/>
      <c r="H129" s="287"/>
      <c r="I129" s="287"/>
      <c r="J129" s="287"/>
      <c r="K129" s="44"/>
      <c r="L129" s="148"/>
      <c r="M129" s="903"/>
      <c r="N129" s="905"/>
      <c r="O129" s="903"/>
      <c r="P129" s="903"/>
      <c r="Q129" s="127"/>
      <c r="R129" s="945"/>
      <c r="S129" t="s">
        <v>184</v>
      </c>
    </row>
    <row r="130" spans="1:19" ht="16.5" customHeight="1" thickBot="1">
      <c r="A130" s="907"/>
      <c r="B130" s="74" t="s">
        <v>185</v>
      </c>
      <c r="C130" s="39" t="s">
        <v>41</v>
      </c>
      <c r="D130" s="39" t="s">
        <v>24</v>
      </c>
      <c r="E130" s="39" t="s">
        <v>25</v>
      </c>
      <c r="F130" s="39" t="s">
        <v>26</v>
      </c>
      <c r="G130" s="39">
        <f>10</f>
        <v>10</v>
      </c>
      <c r="H130" s="283">
        <f>50</f>
        <v>50</v>
      </c>
      <c r="I130" s="283">
        <f>25</f>
        <v>25</v>
      </c>
      <c r="J130" s="283">
        <f>75</f>
        <v>75</v>
      </c>
      <c r="K130" s="39">
        <f>20</f>
        <v>20</v>
      </c>
      <c r="L130" s="134">
        <f t="shared" ref="L130" si="2">J130/G130</f>
        <v>7.5</v>
      </c>
      <c r="M130" s="907"/>
      <c r="N130" s="906"/>
      <c r="O130" s="907"/>
      <c r="P130" s="907"/>
      <c r="Q130" s="127" t="s">
        <v>39</v>
      </c>
      <c r="R130" s="945"/>
    </row>
    <row r="131" spans="1:19" ht="15.75" customHeight="1" thickBot="1">
      <c r="A131" s="900" t="s">
        <v>63</v>
      </c>
      <c r="B131" s="316" t="s">
        <v>186</v>
      </c>
      <c r="C131" s="317" t="s">
        <v>21</v>
      </c>
      <c r="D131" s="317"/>
      <c r="E131" s="317"/>
      <c r="F131" s="317" t="s">
        <v>131</v>
      </c>
      <c r="G131" s="317"/>
      <c r="H131" s="317"/>
      <c r="I131" s="317"/>
      <c r="J131" s="317"/>
      <c r="K131" s="317"/>
      <c r="L131" s="318"/>
      <c r="M131" s="902">
        <f>SUM(K131:K137)</f>
        <v>72</v>
      </c>
      <c r="N131" s="904">
        <f>P131/M131</f>
        <v>1.0555555555555556</v>
      </c>
      <c r="O131" s="902">
        <f>3</f>
        <v>3</v>
      </c>
      <c r="P131" s="902">
        <f>SUM(G131:G137)</f>
        <v>76</v>
      </c>
      <c r="Q131" s="235"/>
      <c r="R131" s="945"/>
    </row>
    <row r="132" spans="1:19" ht="15.75" customHeight="1" thickBot="1">
      <c r="A132" s="901"/>
      <c r="B132" s="319" t="s">
        <v>187</v>
      </c>
      <c r="C132" s="44" t="s">
        <v>23</v>
      </c>
      <c r="D132" s="44"/>
      <c r="E132" s="44"/>
      <c r="F132" s="44" t="s">
        <v>188</v>
      </c>
      <c r="G132" s="44"/>
      <c r="H132" s="44"/>
      <c r="I132" s="44"/>
      <c r="J132" s="44"/>
      <c r="K132" s="44"/>
      <c r="L132" s="276"/>
      <c r="M132" s="903"/>
      <c r="N132" s="905"/>
      <c r="O132" s="903"/>
      <c r="P132" s="903"/>
      <c r="Q132" s="235"/>
      <c r="R132" s="945"/>
    </row>
    <row r="133" spans="1:19" ht="15.75" customHeight="1" thickBot="1">
      <c r="A133" s="901"/>
      <c r="B133" s="319" t="s">
        <v>189</v>
      </c>
      <c r="C133" s="44" t="s">
        <v>29</v>
      </c>
      <c r="D133" s="44"/>
      <c r="E133" s="44"/>
      <c r="F133" s="44" t="s">
        <v>131</v>
      </c>
      <c r="G133" s="44"/>
      <c r="H133" s="44"/>
      <c r="I133" s="44"/>
      <c r="J133" s="44"/>
      <c r="K133" s="44"/>
      <c r="L133" s="276"/>
      <c r="M133" s="903"/>
      <c r="N133" s="905"/>
      <c r="O133" s="903"/>
      <c r="P133" s="903"/>
      <c r="Q133" s="235"/>
      <c r="R133" s="945"/>
      <c r="S133" t="s">
        <v>182</v>
      </c>
    </row>
    <row r="134" spans="1:19" ht="16.5" customHeight="1" thickBot="1">
      <c r="A134" s="901"/>
      <c r="B134" s="315" t="s">
        <v>190</v>
      </c>
      <c r="C134" s="36" t="s">
        <v>50</v>
      </c>
      <c r="D134" s="36" t="s">
        <v>24</v>
      </c>
      <c r="E134" s="36" t="s">
        <v>25</v>
      </c>
      <c r="F134" s="36" t="s">
        <v>26</v>
      </c>
      <c r="G134" s="36">
        <f>38</f>
        <v>38</v>
      </c>
      <c r="H134" s="278">
        <f>256.5</f>
        <v>256.5</v>
      </c>
      <c r="I134" s="278">
        <f>87.5</f>
        <v>87.5</v>
      </c>
      <c r="J134" s="278">
        <f>I134+H134</f>
        <v>344</v>
      </c>
      <c r="K134" s="36">
        <f>23</f>
        <v>23</v>
      </c>
      <c r="L134" s="320">
        <f>J134/G134</f>
        <v>9.0526315789473681</v>
      </c>
      <c r="M134" s="903"/>
      <c r="N134" s="905"/>
      <c r="O134" s="903"/>
      <c r="P134" s="903"/>
      <c r="Q134" s="324" t="s">
        <v>39</v>
      </c>
      <c r="R134" s="945"/>
    </row>
    <row r="135" spans="1:19" ht="16.5" customHeight="1" thickBot="1">
      <c r="A135" s="901"/>
      <c r="B135" s="315" t="s">
        <v>191</v>
      </c>
      <c r="C135" s="36" t="s">
        <v>36</v>
      </c>
      <c r="D135" s="36" t="s">
        <v>24</v>
      </c>
      <c r="E135" s="36" t="s">
        <v>25</v>
      </c>
      <c r="F135" s="36" t="s">
        <v>33</v>
      </c>
      <c r="G135" s="36">
        <f>19</f>
        <v>19</v>
      </c>
      <c r="H135" s="278">
        <f>207.7</f>
        <v>207.7</v>
      </c>
      <c r="I135" s="278">
        <f>47.5</f>
        <v>47.5</v>
      </c>
      <c r="J135" s="278">
        <f>255</f>
        <v>255</v>
      </c>
      <c r="K135" s="36">
        <f>24</f>
        <v>24</v>
      </c>
      <c r="L135" s="320">
        <f>J135/G135</f>
        <v>13.421052631578947</v>
      </c>
      <c r="M135" s="903"/>
      <c r="N135" s="905"/>
      <c r="O135" s="903"/>
      <c r="P135" s="903"/>
      <c r="Q135" s="324" t="s">
        <v>150</v>
      </c>
      <c r="R135" s="945"/>
    </row>
    <row r="136" spans="1:19" ht="16.5" customHeight="1" thickBot="1">
      <c r="A136" s="901"/>
      <c r="B136" s="315" t="s">
        <v>192</v>
      </c>
      <c r="C136" s="36" t="s">
        <v>38</v>
      </c>
      <c r="D136" s="36" t="s">
        <v>24</v>
      </c>
      <c r="E136" s="36" t="s">
        <v>25</v>
      </c>
      <c r="F136" s="36" t="s">
        <v>26</v>
      </c>
      <c r="G136" s="36">
        <f>19</f>
        <v>19</v>
      </c>
      <c r="H136" s="278">
        <f>99.5</f>
        <v>99.5</v>
      </c>
      <c r="I136" s="278">
        <f>47.5</f>
        <v>47.5</v>
      </c>
      <c r="J136" s="278">
        <f>147</f>
        <v>147</v>
      </c>
      <c r="K136" s="36">
        <f>25</f>
        <v>25</v>
      </c>
      <c r="L136" s="320">
        <f>J136/G136</f>
        <v>7.7368421052631575</v>
      </c>
      <c r="M136" s="903"/>
      <c r="N136" s="905"/>
      <c r="O136" s="903"/>
      <c r="P136" s="903"/>
      <c r="Q136" s="324" t="s">
        <v>39</v>
      </c>
      <c r="R136" s="945"/>
    </row>
    <row r="137" spans="1:19" ht="15.75" customHeight="1" thickBot="1">
      <c r="A137" s="928"/>
      <c r="B137" s="326" t="s">
        <v>193</v>
      </c>
      <c r="C137" s="327" t="s">
        <v>41</v>
      </c>
      <c r="D137" s="327"/>
      <c r="E137" s="327"/>
      <c r="F137" s="327" t="s">
        <v>131</v>
      </c>
      <c r="G137" s="327"/>
      <c r="H137" s="328"/>
      <c r="I137" s="328"/>
      <c r="J137" s="328"/>
      <c r="K137" s="327"/>
      <c r="L137" s="336"/>
      <c r="M137" s="907"/>
      <c r="N137" s="906"/>
      <c r="O137" s="907"/>
      <c r="P137" s="907"/>
      <c r="Q137" s="87"/>
      <c r="R137" s="945"/>
    </row>
    <row r="138" spans="1:19" ht="16.5" customHeight="1" thickBot="1">
      <c r="A138" s="900" t="s">
        <v>194</v>
      </c>
      <c r="B138" s="329" t="s">
        <v>195</v>
      </c>
      <c r="C138" s="54" t="s">
        <v>44</v>
      </c>
      <c r="D138" s="54" t="s">
        <v>24</v>
      </c>
      <c r="E138" s="54" t="s">
        <v>25</v>
      </c>
      <c r="F138" s="54" t="s">
        <v>33</v>
      </c>
      <c r="G138" s="54">
        <f>17</f>
        <v>17</v>
      </c>
      <c r="H138" s="290">
        <f>200</f>
        <v>200</v>
      </c>
      <c r="I138" s="290">
        <f>40</f>
        <v>40</v>
      </c>
      <c r="J138" s="290">
        <f>240</f>
        <v>240</v>
      </c>
      <c r="K138" s="54">
        <f>25</f>
        <v>25</v>
      </c>
      <c r="L138" s="337">
        <f t="shared" ref="L138:L165" si="3">J138/G138</f>
        <v>14.117647058823529</v>
      </c>
      <c r="M138" s="902">
        <f>SUM(K138:K144)</f>
        <v>186</v>
      </c>
      <c r="N138" s="904">
        <f>P138/M138</f>
        <v>0.74193548387096775</v>
      </c>
      <c r="O138" s="902">
        <f>7</f>
        <v>7</v>
      </c>
      <c r="P138" s="902">
        <f>SUM(G138:G144)</f>
        <v>138</v>
      </c>
      <c r="Q138" s="131" t="s">
        <v>39</v>
      </c>
      <c r="R138" s="945"/>
      <c r="S138" t="s">
        <v>196</v>
      </c>
    </row>
    <row r="139" spans="1:19" ht="16.5" customHeight="1" thickBot="1">
      <c r="A139" s="901"/>
      <c r="B139" s="319" t="s">
        <v>197</v>
      </c>
      <c r="C139" s="44" t="s">
        <v>23</v>
      </c>
      <c r="D139" s="44" t="s">
        <v>24</v>
      </c>
      <c r="E139" s="44" t="s">
        <v>25</v>
      </c>
      <c r="F139" s="44" t="s">
        <v>131</v>
      </c>
      <c r="G139" s="44"/>
      <c r="H139" s="287"/>
      <c r="I139" s="287"/>
      <c r="J139" s="287"/>
      <c r="K139" s="44"/>
      <c r="L139" s="342"/>
      <c r="M139" s="903"/>
      <c r="N139" s="905"/>
      <c r="O139" s="903"/>
      <c r="P139" s="903"/>
      <c r="Q139" s="131" t="s">
        <v>39</v>
      </c>
      <c r="R139" s="945"/>
      <c r="S139" t="s">
        <v>198</v>
      </c>
    </row>
    <row r="140" spans="1:19" ht="16.5" customHeight="1" thickBot="1">
      <c r="A140" s="901"/>
      <c r="B140" s="315" t="s">
        <v>199</v>
      </c>
      <c r="C140" s="36" t="s">
        <v>29</v>
      </c>
      <c r="D140" s="36" t="s">
        <v>24</v>
      </c>
      <c r="E140" s="36" t="s">
        <v>25</v>
      </c>
      <c r="F140" s="36" t="s">
        <v>33</v>
      </c>
      <c r="G140" s="36">
        <f>6</f>
        <v>6</v>
      </c>
      <c r="H140" s="278">
        <f>80-I140</f>
        <v>67.5</v>
      </c>
      <c r="I140" s="278">
        <f>5*2.5</f>
        <v>12.5</v>
      </c>
      <c r="J140" s="278">
        <f>80</f>
        <v>80</v>
      </c>
      <c r="K140" s="36">
        <f>13</f>
        <v>13</v>
      </c>
      <c r="L140" s="320">
        <f t="shared" si="3"/>
        <v>13.333333333333334</v>
      </c>
      <c r="M140" s="903"/>
      <c r="N140" s="905"/>
      <c r="O140" s="903"/>
      <c r="P140" s="903"/>
      <c r="Q140" s="131" t="s">
        <v>150</v>
      </c>
      <c r="R140" s="945"/>
    </row>
    <row r="141" spans="1:19" ht="16.5" customHeight="1" thickBot="1">
      <c r="A141" s="901"/>
      <c r="B141" s="315" t="s">
        <v>200</v>
      </c>
      <c r="C141" s="36" t="s">
        <v>31</v>
      </c>
      <c r="D141" s="36" t="s">
        <v>24</v>
      </c>
      <c r="E141" s="36" t="s">
        <v>25</v>
      </c>
      <c r="F141" s="36" t="s">
        <v>33</v>
      </c>
      <c r="G141" s="36">
        <f>29</f>
        <v>29</v>
      </c>
      <c r="H141" s="278">
        <f>229.5</f>
        <v>229.5</v>
      </c>
      <c r="I141" s="278">
        <f>62.5</f>
        <v>62.5</v>
      </c>
      <c r="J141" s="278">
        <f>297</f>
        <v>297</v>
      </c>
      <c r="K141" s="36">
        <f>41</f>
        <v>41</v>
      </c>
      <c r="L141" s="320">
        <f t="shared" si="3"/>
        <v>10.241379310344827</v>
      </c>
      <c r="M141" s="903"/>
      <c r="N141" s="905"/>
      <c r="O141" s="903"/>
      <c r="P141" s="903"/>
      <c r="Q141" s="131" t="s">
        <v>144</v>
      </c>
      <c r="R141" s="945"/>
    </row>
    <row r="142" spans="1:19" ht="16.5" customHeight="1" thickBot="1">
      <c r="A142" s="901"/>
      <c r="B142" s="315" t="s">
        <v>201</v>
      </c>
      <c r="C142" s="36" t="s">
        <v>36</v>
      </c>
      <c r="D142" s="36" t="s">
        <v>24</v>
      </c>
      <c r="E142" s="36" t="s">
        <v>25</v>
      </c>
      <c r="F142" s="36" t="s">
        <v>33</v>
      </c>
      <c r="G142" s="36">
        <f>28</f>
        <v>28</v>
      </c>
      <c r="H142" s="278">
        <f>165</f>
        <v>165</v>
      </c>
      <c r="I142" s="278">
        <f>70</f>
        <v>70</v>
      </c>
      <c r="J142" s="278">
        <f>235</f>
        <v>235</v>
      </c>
      <c r="K142" s="36">
        <f>114/3</f>
        <v>38</v>
      </c>
      <c r="L142" s="320">
        <f t="shared" si="3"/>
        <v>8.3928571428571423</v>
      </c>
      <c r="M142" s="903"/>
      <c r="N142" s="905"/>
      <c r="O142" s="903"/>
      <c r="P142" s="903"/>
      <c r="Q142" s="131" t="s">
        <v>39</v>
      </c>
      <c r="R142" s="945"/>
    </row>
    <row r="143" spans="1:19" ht="16.5" customHeight="1" thickBot="1">
      <c r="A143" s="901"/>
      <c r="B143" s="315" t="s">
        <v>202</v>
      </c>
      <c r="C143" s="36" t="s">
        <v>90</v>
      </c>
      <c r="D143" s="36" t="s">
        <v>24</v>
      </c>
      <c r="E143" s="36" t="s">
        <v>25</v>
      </c>
      <c r="F143" s="36" t="s">
        <v>26</v>
      </c>
      <c r="G143" s="36">
        <f>32</f>
        <v>32</v>
      </c>
      <c r="H143" s="278">
        <f>350-(2.5*30)</f>
        <v>275</v>
      </c>
      <c r="I143" s="278">
        <f>75</f>
        <v>75</v>
      </c>
      <c r="J143" s="341">
        <f>H143+I143</f>
        <v>350</v>
      </c>
      <c r="K143" s="36">
        <f>43</f>
        <v>43</v>
      </c>
      <c r="L143" s="320">
        <f t="shared" si="3"/>
        <v>10.9375</v>
      </c>
      <c r="M143" s="903"/>
      <c r="N143" s="905"/>
      <c r="O143" s="903"/>
      <c r="P143" s="903"/>
      <c r="Q143" s="131" t="s">
        <v>39</v>
      </c>
      <c r="R143" s="945"/>
    </row>
    <row r="144" spans="1:19" ht="16.5" customHeight="1" thickBot="1">
      <c r="A144" s="901"/>
      <c r="B144" s="315" t="s">
        <v>203</v>
      </c>
      <c r="C144" s="36" t="s">
        <v>41</v>
      </c>
      <c r="D144" s="36" t="s">
        <v>24</v>
      </c>
      <c r="E144" s="36" t="s">
        <v>25</v>
      </c>
      <c r="F144" s="36" t="s">
        <v>26</v>
      </c>
      <c r="G144" s="36">
        <f>26</f>
        <v>26</v>
      </c>
      <c r="H144" s="278">
        <f>J144-I144</f>
        <v>172.5</v>
      </c>
      <c r="I144" s="278">
        <f>2.5*21</f>
        <v>52.5</v>
      </c>
      <c r="J144" s="278">
        <f>225</f>
        <v>225</v>
      </c>
      <c r="K144" s="36">
        <f>26</f>
        <v>26</v>
      </c>
      <c r="L144" s="320">
        <f t="shared" si="3"/>
        <v>8.6538461538461533</v>
      </c>
      <c r="M144" s="903"/>
      <c r="N144" s="905"/>
      <c r="O144" s="903"/>
      <c r="P144" s="903"/>
      <c r="Q144" s="131" t="s">
        <v>39</v>
      </c>
      <c r="R144" s="945"/>
    </row>
    <row r="145" spans="1:19" ht="16.5" customHeight="1" thickBot="1">
      <c r="A145" s="928"/>
      <c r="B145" s="350" t="s">
        <v>203</v>
      </c>
      <c r="C145" s="39" t="s">
        <v>41</v>
      </c>
      <c r="D145" s="39" t="s">
        <v>115</v>
      </c>
      <c r="E145" s="39" t="s">
        <v>25</v>
      </c>
      <c r="F145" s="39" t="s">
        <v>33</v>
      </c>
      <c r="G145" s="39">
        <f>28</f>
        <v>28</v>
      </c>
      <c r="H145" s="283">
        <f>J145-I145</f>
        <v>147.5</v>
      </c>
      <c r="I145" s="349">
        <f>27*2.5</f>
        <v>67.5</v>
      </c>
      <c r="J145" s="349">
        <f>215</f>
        <v>215</v>
      </c>
      <c r="K145" s="39">
        <f>43</f>
        <v>43</v>
      </c>
      <c r="L145" s="348">
        <f t="shared" si="3"/>
        <v>7.6785714285714288</v>
      </c>
      <c r="M145" s="907"/>
      <c r="N145" s="906"/>
      <c r="O145" s="907"/>
      <c r="P145" s="907"/>
      <c r="Q145" s="131" t="s">
        <v>150</v>
      </c>
      <c r="R145" s="945"/>
    </row>
    <row r="146" spans="1:19" ht="16.149999999999999" thickBot="1">
      <c r="A146" s="900" t="s">
        <v>19</v>
      </c>
      <c r="B146" s="329" t="s">
        <v>204</v>
      </c>
      <c r="C146" s="351" t="s">
        <v>44</v>
      </c>
      <c r="D146" s="351" t="s">
        <v>24</v>
      </c>
      <c r="E146" s="351" t="s">
        <v>25</v>
      </c>
      <c r="F146" s="351" t="s">
        <v>33</v>
      </c>
      <c r="G146" s="351">
        <f>35</f>
        <v>35</v>
      </c>
      <c r="H146" s="352">
        <f>J146-I146</f>
        <v>242.5</v>
      </c>
      <c r="I146" s="352">
        <f>33*2.5</f>
        <v>82.5</v>
      </c>
      <c r="J146" s="352">
        <f>325</f>
        <v>325</v>
      </c>
      <c r="K146" s="351">
        <f>48</f>
        <v>48</v>
      </c>
      <c r="L146" s="353">
        <f t="shared" si="3"/>
        <v>9.2857142857142865</v>
      </c>
      <c r="M146" s="902">
        <f>SUM(K146:K153)</f>
        <v>199</v>
      </c>
      <c r="N146" s="904">
        <f>P146/M146</f>
        <v>0.75879396984924619</v>
      </c>
      <c r="O146" s="902">
        <f>5</f>
        <v>5</v>
      </c>
      <c r="P146" s="902">
        <f>SUM(G146:G153)</f>
        <v>151</v>
      </c>
      <c r="Q146" s="503" t="s">
        <v>144</v>
      </c>
      <c r="R146" s="980" t="s">
        <v>205</v>
      </c>
    </row>
    <row r="147" spans="1:19" ht="15" thickBot="1">
      <c r="A147" s="901"/>
      <c r="B147" s="354" t="s">
        <v>206</v>
      </c>
      <c r="C147" s="24" t="s">
        <v>23</v>
      </c>
      <c r="D147" s="24"/>
      <c r="E147" s="24"/>
      <c r="F147" s="24"/>
      <c r="G147" s="24"/>
      <c r="H147" s="24"/>
      <c r="I147" s="24"/>
      <c r="J147" s="24"/>
      <c r="K147" s="24"/>
      <c r="L147" s="164"/>
      <c r="M147" s="903"/>
      <c r="N147" s="905"/>
      <c r="O147" s="903"/>
      <c r="P147" s="903"/>
      <c r="Q147" s="504"/>
      <c r="R147" s="981"/>
    </row>
    <row r="148" spans="1:19" ht="15" thickBot="1">
      <c r="A148" s="901"/>
      <c r="B148" s="354" t="s">
        <v>207</v>
      </c>
      <c r="C148" s="24" t="s">
        <v>29</v>
      </c>
      <c r="D148" s="24"/>
      <c r="E148" s="24"/>
      <c r="F148" s="24"/>
      <c r="G148" s="24"/>
      <c r="H148" s="24"/>
      <c r="I148" s="24"/>
      <c r="J148" s="24"/>
      <c r="K148" s="24"/>
      <c r="L148" s="164"/>
      <c r="M148" s="903"/>
      <c r="N148" s="905"/>
      <c r="O148" s="903"/>
      <c r="P148" s="903"/>
      <c r="Q148" s="504"/>
      <c r="R148" s="981"/>
    </row>
    <row r="149" spans="1:19" ht="16.149999999999999" thickBot="1">
      <c r="A149" s="901"/>
      <c r="B149" s="315" t="s">
        <v>208</v>
      </c>
      <c r="C149" s="36" t="s">
        <v>31</v>
      </c>
      <c r="D149" s="36" t="s">
        <v>24</v>
      </c>
      <c r="E149" s="36" t="s">
        <v>25</v>
      </c>
      <c r="F149" s="36" t="s">
        <v>33</v>
      </c>
      <c r="G149" s="36">
        <f>24</f>
        <v>24</v>
      </c>
      <c r="H149" s="278">
        <f>140</f>
        <v>140</v>
      </c>
      <c r="I149" s="278">
        <f>55</f>
        <v>55</v>
      </c>
      <c r="J149" s="278">
        <f>195</f>
        <v>195</v>
      </c>
      <c r="K149" s="36">
        <f>41</f>
        <v>41</v>
      </c>
      <c r="L149" s="320">
        <f t="shared" si="3"/>
        <v>8.125</v>
      </c>
      <c r="M149" s="903"/>
      <c r="N149" s="905"/>
      <c r="O149" s="903"/>
      <c r="P149" s="903"/>
      <c r="Q149" s="503" t="s">
        <v>39</v>
      </c>
      <c r="R149" s="981"/>
    </row>
    <row r="150" spans="1:19" ht="16.149999999999999" thickBot="1">
      <c r="A150" s="901"/>
      <c r="B150" s="315" t="s">
        <v>209</v>
      </c>
      <c r="C150" s="36" t="s">
        <v>36</v>
      </c>
      <c r="D150" s="36" t="s">
        <v>24</v>
      </c>
      <c r="E150" s="36" t="s">
        <v>25</v>
      </c>
      <c r="F150" s="36" t="s">
        <v>26</v>
      </c>
      <c r="G150" s="36">
        <f>28</f>
        <v>28</v>
      </c>
      <c r="H150" s="278">
        <f>185</f>
        <v>185</v>
      </c>
      <c r="I150" s="278">
        <f>65</f>
        <v>65</v>
      </c>
      <c r="J150" s="278">
        <f>250</f>
        <v>250</v>
      </c>
      <c r="K150" s="36">
        <f>34</f>
        <v>34</v>
      </c>
      <c r="L150" s="320">
        <f>J150/G150</f>
        <v>8.9285714285714288</v>
      </c>
      <c r="M150" s="903"/>
      <c r="N150" s="905"/>
      <c r="O150" s="903"/>
      <c r="P150" s="903"/>
      <c r="Q150" s="503" t="s">
        <v>39</v>
      </c>
      <c r="R150" s="981"/>
    </row>
    <row r="151" spans="1:19" ht="16.149999999999999" thickBot="1">
      <c r="A151" s="901"/>
      <c r="B151" s="315" t="s">
        <v>210</v>
      </c>
      <c r="C151" s="36" t="s">
        <v>38</v>
      </c>
      <c r="D151" s="36" t="s">
        <v>24</v>
      </c>
      <c r="E151" s="36" t="s">
        <v>25</v>
      </c>
      <c r="F151" s="36" t="s">
        <v>26</v>
      </c>
      <c r="G151" s="36">
        <f>44</f>
        <v>44</v>
      </c>
      <c r="H151" s="278">
        <f>348</f>
        <v>348</v>
      </c>
      <c r="I151" s="278">
        <f>95</f>
        <v>95</v>
      </c>
      <c r="J151" s="278">
        <f>348+95</f>
        <v>443</v>
      </c>
      <c r="K151" s="36">
        <f>52</f>
        <v>52</v>
      </c>
      <c r="L151" s="320">
        <f t="shared" si="3"/>
        <v>10.068181818181818</v>
      </c>
      <c r="M151" s="903"/>
      <c r="N151" s="905"/>
      <c r="O151" s="903"/>
      <c r="P151" s="903"/>
      <c r="Q151" s="503" t="s">
        <v>39</v>
      </c>
      <c r="R151" s="981"/>
    </row>
    <row r="152" spans="1:19" ht="16.149999999999999" thickBot="1">
      <c r="A152" s="901"/>
      <c r="B152" s="319" t="s">
        <v>210</v>
      </c>
      <c r="C152" s="44" t="s">
        <v>38</v>
      </c>
      <c r="D152" s="44" t="s">
        <v>115</v>
      </c>
      <c r="E152" s="44" t="s">
        <v>25</v>
      </c>
      <c r="F152" s="44" t="s">
        <v>92</v>
      </c>
      <c r="G152" s="44"/>
      <c r="H152" s="44"/>
      <c r="I152" s="44"/>
      <c r="J152" s="44"/>
      <c r="K152" s="44"/>
      <c r="L152" s="342"/>
      <c r="M152" s="903"/>
      <c r="N152" s="905"/>
      <c r="O152" s="903"/>
      <c r="P152" s="903"/>
      <c r="Q152" s="503" t="s">
        <v>39</v>
      </c>
      <c r="R152" s="981"/>
    </row>
    <row r="153" spans="1:19" ht="16.149999999999999" thickBot="1">
      <c r="A153" s="901"/>
      <c r="B153" s="338" t="s">
        <v>211</v>
      </c>
      <c r="C153" s="41" t="s">
        <v>41</v>
      </c>
      <c r="D153" s="41" t="s">
        <v>24</v>
      </c>
      <c r="E153" s="41" t="s">
        <v>25</v>
      </c>
      <c r="F153" s="41" t="s">
        <v>26</v>
      </c>
      <c r="G153" s="41">
        <f>20</f>
        <v>20</v>
      </c>
      <c r="H153" s="41">
        <f>162.5</f>
        <v>162.5</v>
      </c>
      <c r="I153" s="368">
        <f>42.5</f>
        <v>42.5</v>
      </c>
      <c r="J153" s="41">
        <f>162.4+42.5</f>
        <v>204.9</v>
      </c>
      <c r="K153" s="41">
        <f>24</f>
        <v>24</v>
      </c>
      <c r="L153" s="320">
        <f t="shared" si="3"/>
        <v>10.245000000000001</v>
      </c>
      <c r="M153" s="903"/>
      <c r="N153" s="905"/>
      <c r="O153" s="903"/>
      <c r="P153" s="903"/>
      <c r="Q153" s="503" t="s">
        <v>39</v>
      </c>
      <c r="R153" s="981"/>
    </row>
    <row r="154" spans="1:19" ht="16.149999999999999" thickBot="1">
      <c r="A154" s="966" t="s">
        <v>212</v>
      </c>
      <c r="B154" s="75" t="s">
        <v>213</v>
      </c>
      <c r="C154" s="351" t="s">
        <v>44</v>
      </c>
      <c r="D154" s="76" t="s">
        <v>62</v>
      </c>
      <c r="E154" s="76" t="s">
        <v>25</v>
      </c>
      <c r="F154" s="76" t="s">
        <v>26</v>
      </c>
      <c r="G154" s="370">
        <f>13</f>
        <v>13</v>
      </c>
      <c r="H154" s="76">
        <f>94.5</f>
        <v>94.5</v>
      </c>
      <c r="I154" s="369">
        <f>32.5</f>
        <v>32.5</v>
      </c>
      <c r="J154" s="76">
        <f>H154+I153</f>
        <v>137</v>
      </c>
      <c r="K154" s="76">
        <f>20</f>
        <v>20</v>
      </c>
      <c r="L154" s="320">
        <f t="shared" si="3"/>
        <v>10.538461538461538</v>
      </c>
      <c r="M154" s="986">
        <f>SUM(K154:K161)</f>
        <v>156</v>
      </c>
      <c r="N154" s="988">
        <f>P154/M154</f>
        <v>0.83333333333333337</v>
      </c>
      <c r="O154" s="915">
        <f>6</f>
        <v>6</v>
      </c>
      <c r="P154" s="919">
        <f>SUM(G154:G161)</f>
        <v>130</v>
      </c>
      <c r="Q154" s="505" t="s">
        <v>39</v>
      </c>
      <c r="R154" s="981"/>
    </row>
    <row r="155" spans="1:19" ht="16.149999999999999" thickBot="1">
      <c r="A155" s="967"/>
      <c r="B155" s="70" t="s">
        <v>214</v>
      </c>
      <c r="C155" s="36" t="s">
        <v>23</v>
      </c>
      <c r="D155" s="36" t="s">
        <v>24</v>
      </c>
      <c r="E155" s="36" t="s">
        <v>25</v>
      </c>
      <c r="F155" s="36" t="s">
        <v>26</v>
      </c>
      <c r="G155" s="36">
        <f>16</f>
        <v>16</v>
      </c>
      <c r="H155" s="366">
        <f>123</f>
        <v>123</v>
      </c>
      <c r="I155" s="366">
        <f>40</f>
        <v>40</v>
      </c>
      <c r="J155" s="366">
        <f>H155+I155</f>
        <v>163</v>
      </c>
      <c r="K155" s="36">
        <f>16</f>
        <v>16</v>
      </c>
      <c r="L155" s="320">
        <f t="shared" si="3"/>
        <v>10.1875</v>
      </c>
      <c r="M155" s="987"/>
      <c r="N155" s="989"/>
      <c r="O155" s="916"/>
      <c r="P155" s="920"/>
      <c r="Q155" s="505" t="s">
        <v>39</v>
      </c>
      <c r="R155" s="981"/>
    </row>
    <row r="156" spans="1:19" ht="16.149999999999999" thickBot="1">
      <c r="A156" s="967"/>
      <c r="B156" s="70" t="s">
        <v>215</v>
      </c>
      <c r="C156" s="36" t="s">
        <v>29</v>
      </c>
      <c r="D156" s="36" t="s">
        <v>24</v>
      </c>
      <c r="E156" s="36" t="s">
        <v>25</v>
      </c>
      <c r="F156" s="36" t="s">
        <v>33</v>
      </c>
      <c r="G156" s="36">
        <f>25</f>
        <v>25</v>
      </c>
      <c r="H156" s="366">
        <f>227.5</f>
        <v>227.5</v>
      </c>
      <c r="I156" s="366">
        <f>62.5</f>
        <v>62.5</v>
      </c>
      <c r="J156" s="366">
        <f>H156+I156</f>
        <v>290</v>
      </c>
      <c r="K156" s="36">
        <f>31</f>
        <v>31</v>
      </c>
      <c r="L156" s="320">
        <f t="shared" si="3"/>
        <v>11.6</v>
      </c>
      <c r="M156" s="987"/>
      <c r="N156" s="989"/>
      <c r="O156" s="916"/>
      <c r="P156" s="920"/>
      <c r="Q156" s="505" t="s">
        <v>39</v>
      </c>
      <c r="R156" s="981"/>
      <c r="S156" t="s">
        <v>153</v>
      </c>
    </row>
    <row r="157" spans="1:19" ht="16.149999999999999" thickBot="1">
      <c r="A157" s="967"/>
      <c r="B157" s="82" t="s">
        <v>216</v>
      </c>
      <c r="C157" s="44" t="s">
        <v>31</v>
      </c>
      <c r="D157" s="44"/>
      <c r="E157" s="44" t="s">
        <v>25</v>
      </c>
      <c r="F157" s="44" t="s">
        <v>92</v>
      </c>
      <c r="G157" s="44"/>
      <c r="H157" s="367"/>
      <c r="I157" s="44"/>
      <c r="J157" s="44"/>
      <c r="K157" s="44"/>
      <c r="L157" s="342"/>
      <c r="M157" s="987"/>
      <c r="N157" s="989"/>
      <c r="O157" s="916"/>
      <c r="P157" s="920"/>
      <c r="Q157" s="505"/>
      <c r="R157" s="981"/>
    </row>
    <row r="158" spans="1:19" ht="16.149999999999999" thickBot="1">
      <c r="A158" s="967"/>
      <c r="B158" s="70" t="s">
        <v>216</v>
      </c>
      <c r="C158" s="36" t="s">
        <v>31</v>
      </c>
      <c r="D158" s="36" t="s">
        <v>96</v>
      </c>
      <c r="E158" s="36" t="s">
        <v>86</v>
      </c>
      <c r="F158" s="36" t="s">
        <v>26</v>
      </c>
      <c r="G158" s="36">
        <f>38</f>
        <v>38</v>
      </c>
      <c r="H158" s="366">
        <f>98+234</f>
        <v>332</v>
      </c>
      <c r="I158" s="366">
        <f>98</f>
        <v>98</v>
      </c>
      <c r="J158" s="366">
        <f>332</f>
        <v>332</v>
      </c>
      <c r="K158" s="36">
        <f>36</f>
        <v>36</v>
      </c>
      <c r="L158" s="320">
        <f t="shared" si="3"/>
        <v>8.7368421052631575</v>
      </c>
      <c r="M158" s="987"/>
      <c r="N158" s="989"/>
      <c r="O158" s="916"/>
      <c r="P158" s="920"/>
      <c r="Q158" s="505" t="s">
        <v>34</v>
      </c>
      <c r="R158" s="981"/>
    </row>
    <row r="159" spans="1:19" ht="16.149999999999999" thickBot="1">
      <c r="A159" s="967"/>
      <c r="B159" s="82" t="s">
        <v>217</v>
      </c>
      <c r="C159" s="44" t="s">
        <v>36</v>
      </c>
      <c r="D159" s="44"/>
      <c r="E159" s="44" t="s">
        <v>25</v>
      </c>
      <c r="F159" s="44" t="s">
        <v>131</v>
      </c>
      <c r="G159" s="44"/>
      <c r="H159" s="367"/>
      <c r="I159" s="44"/>
      <c r="J159" s="44"/>
      <c r="K159" s="44"/>
      <c r="L159" s="342"/>
      <c r="M159" s="987"/>
      <c r="N159" s="989"/>
      <c r="O159" s="916"/>
      <c r="P159" s="920"/>
      <c r="Q159" s="505"/>
      <c r="R159" s="981"/>
    </row>
    <row r="160" spans="1:19" ht="16.149999999999999" thickBot="1">
      <c r="A160" s="967"/>
      <c r="B160" s="70" t="s">
        <v>218</v>
      </c>
      <c r="C160" s="39" t="s">
        <v>38</v>
      </c>
      <c r="D160" s="36" t="s">
        <v>24</v>
      </c>
      <c r="E160" s="36" t="s">
        <v>25</v>
      </c>
      <c r="F160" s="36" t="s">
        <v>26</v>
      </c>
      <c r="G160" s="36">
        <f>26</f>
        <v>26</v>
      </c>
      <c r="H160" s="366">
        <f>217.5</f>
        <v>217.5</v>
      </c>
      <c r="I160" s="366">
        <f>62.5</f>
        <v>62.5</v>
      </c>
      <c r="J160" s="366">
        <f t="shared" ref="J160:J165" si="4">H160+I160</f>
        <v>280</v>
      </c>
      <c r="K160" s="36">
        <f>31</f>
        <v>31</v>
      </c>
      <c r="L160" s="320">
        <f t="shared" si="3"/>
        <v>10.76923076923077</v>
      </c>
      <c r="M160" s="987"/>
      <c r="N160" s="989"/>
      <c r="O160" s="916"/>
      <c r="P160" s="920"/>
      <c r="Q160" s="505" t="s">
        <v>39</v>
      </c>
      <c r="R160" s="981"/>
    </row>
    <row r="161" spans="1:18" ht="16.149999999999999" thickBot="1">
      <c r="A161" s="967"/>
      <c r="B161" s="74" t="s">
        <v>219</v>
      </c>
      <c r="C161" s="39" t="s">
        <v>41</v>
      </c>
      <c r="D161" s="39" t="s">
        <v>24</v>
      </c>
      <c r="E161" s="39" t="s">
        <v>25</v>
      </c>
      <c r="F161" s="39" t="s">
        <v>26</v>
      </c>
      <c r="G161" s="39">
        <f>12</f>
        <v>12</v>
      </c>
      <c r="H161" s="378">
        <f>100</f>
        <v>100</v>
      </c>
      <c r="I161" s="378">
        <f>30</f>
        <v>30</v>
      </c>
      <c r="J161" s="378">
        <f t="shared" si="4"/>
        <v>130</v>
      </c>
      <c r="K161" s="39">
        <f>22</f>
        <v>22</v>
      </c>
      <c r="L161" s="348">
        <f t="shared" si="3"/>
        <v>10.833333333333334</v>
      </c>
      <c r="M161" s="987"/>
      <c r="N161" s="989"/>
      <c r="O161" s="916"/>
      <c r="P161" s="920"/>
      <c r="Q161" s="506" t="s">
        <v>39</v>
      </c>
      <c r="R161" s="981"/>
    </row>
    <row r="162" spans="1:18" ht="15" thickBot="1">
      <c r="A162" s="921" t="s">
        <v>175</v>
      </c>
      <c r="B162" s="372" t="s">
        <v>220</v>
      </c>
      <c r="C162" s="373" t="s">
        <v>44</v>
      </c>
      <c r="D162" s="373" t="s">
        <v>24</v>
      </c>
      <c r="E162" s="373" t="s">
        <v>25</v>
      </c>
      <c r="F162" s="373" t="s">
        <v>26</v>
      </c>
      <c r="G162" s="373">
        <f>19</f>
        <v>19</v>
      </c>
      <c r="H162" s="374">
        <f>142.5</f>
        <v>142.5</v>
      </c>
      <c r="I162" s="374">
        <f>47.5</f>
        <v>47.5</v>
      </c>
      <c r="J162" s="374">
        <f t="shared" si="4"/>
        <v>190</v>
      </c>
      <c r="K162" s="373">
        <f>24</f>
        <v>24</v>
      </c>
      <c r="L162" s="397">
        <f t="shared" si="3"/>
        <v>10</v>
      </c>
      <c r="M162" s="915">
        <f>SUM(K162:K169)</f>
        <v>254</v>
      </c>
      <c r="N162" s="978">
        <f>P162/M162</f>
        <v>0.8582677165354331</v>
      </c>
      <c r="O162" s="923">
        <f>8</f>
        <v>8</v>
      </c>
      <c r="P162" s="915">
        <f>SUM(G162:G169)</f>
        <v>218</v>
      </c>
      <c r="Q162" s="507"/>
      <c r="R162" s="981"/>
    </row>
    <row r="163" spans="1:18" ht="15" thickBot="1">
      <c r="A163" s="922"/>
      <c r="B163" s="375" t="s">
        <v>221</v>
      </c>
      <c r="C163" s="36" t="s">
        <v>23</v>
      </c>
      <c r="D163" s="36" t="s">
        <v>24</v>
      </c>
      <c r="E163" s="36" t="s">
        <v>25</v>
      </c>
      <c r="F163" s="36" t="s">
        <v>33</v>
      </c>
      <c r="G163" s="36">
        <v>23</v>
      </c>
      <c r="H163" s="366">
        <f>212.5</f>
        <v>212.5</v>
      </c>
      <c r="I163" s="366">
        <f>57.5</f>
        <v>57.5</v>
      </c>
      <c r="J163" s="366">
        <f t="shared" si="4"/>
        <v>270</v>
      </c>
      <c r="K163" s="36">
        <f>31</f>
        <v>31</v>
      </c>
      <c r="L163" s="398">
        <f t="shared" si="3"/>
        <v>11.739130434782609</v>
      </c>
      <c r="M163" s="916"/>
      <c r="N163" s="979"/>
      <c r="O163" s="924"/>
      <c r="P163" s="916"/>
      <c r="Q163" s="507"/>
      <c r="R163" s="981"/>
    </row>
    <row r="164" spans="1:18" ht="16.149999999999999" thickBot="1">
      <c r="A164" s="922"/>
      <c r="B164" s="375" t="s">
        <v>222</v>
      </c>
      <c r="C164" s="36" t="s">
        <v>29</v>
      </c>
      <c r="D164" s="36" t="s">
        <v>24</v>
      </c>
      <c r="E164" s="36" t="s">
        <v>25</v>
      </c>
      <c r="F164" s="36" t="s">
        <v>33</v>
      </c>
      <c r="G164" s="36">
        <f>29</f>
        <v>29</v>
      </c>
      <c r="H164" s="366">
        <f>227.5</f>
        <v>227.5</v>
      </c>
      <c r="I164" s="366">
        <f>67.4</f>
        <v>67.400000000000006</v>
      </c>
      <c r="J164" s="366">
        <f t="shared" si="4"/>
        <v>294.89999999999998</v>
      </c>
      <c r="K164" s="36">
        <f>26</f>
        <v>26</v>
      </c>
      <c r="L164" s="398">
        <f t="shared" si="3"/>
        <v>10.168965517241379</v>
      </c>
      <c r="M164" s="916"/>
      <c r="N164" s="979"/>
      <c r="O164" s="924"/>
      <c r="P164" s="916"/>
      <c r="Q164" s="505" t="s">
        <v>39</v>
      </c>
      <c r="R164" s="981"/>
    </row>
    <row r="165" spans="1:18" ht="16.149999999999999" thickBot="1">
      <c r="A165" s="922"/>
      <c r="B165" s="375" t="s">
        <v>223</v>
      </c>
      <c r="C165" s="36" t="s">
        <v>31</v>
      </c>
      <c r="D165" s="36" t="s">
        <v>24</v>
      </c>
      <c r="E165" s="39" t="s">
        <v>25</v>
      </c>
      <c r="F165" s="36" t="s">
        <v>224</v>
      </c>
      <c r="G165" s="36">
        <f>29</f>
        <v>29</v>
      </c>
      <c r="H165" s="366">
        <f>209.5</f>
        <v>209.5</v>
      </c>
      <c r="I165" s="366">
        <f>72.5</f>
        <v>72.5</v>
      </c>
      <c r="J165" s="366">
        <f t="shared" si="4"/>
        <v>282</v>
      </c>
      <c r="K165" s="36">
        <f>38</f>
        <v>38</v>
      </c>
      <c r="L165" s="398">
        <f t="shared" si="3"/>
        <v>9.7241379310344822</v>
      </c>
      <c r="M165" s="916"/>
      <c r="N165" s="979"/>
      <c r="O165" s="924"/>
      <c r="P165" s="916"/>
      <c r="Q165" s="505" t="s">
        <v>144</v>
      </c>
      <c r="R165" s="981"/>
    </row>
    <row r="166" spans="1:18" ht="16.149999999999999" thickBot="1">
      <c r="A166" s="922"/>
      <c r="B166" s="375" t="s">
        <v>225</v>
      </c>
      <c r="C166" s="36" t="s">
        <v>36</v>
      </c>
      <c r="D166" s="79" t="s">
        <v>24</v>
      </c>
      <c r="E166" s="371" t="s">
        <v>25</v>
      </c>
      <c r="F166" s="70" t="s">
        <v>26</v>
      </c>
      <c r="G166" s="36">
        <f>45</f>
        <v>45</v>
      </c>
      <c r="H166" s="366">
        <f>268</f>
        <v>268</v>
      </c>
      <c r="I166" s="366">
        <f>105</f>
        <v>105</v>
      </c>
      <c r="J166" s="366">
        <f>373</f>
        <v>373</v>
      </c>
      <c r="K166" s="36">
        <f>55</f>
        <v>55</v>
      </c>
      <c r="L166" s="398">
        <f>J166/G166</f>
        <v>8.2888888888888896</v>
      </c>
      <c r="M166" s="916"/>
      <c r="N166" s="979"/>
      <c r="O166" s="924"/>
      <c r="P166" s="916"/>
      <c r="Q166" s="505" t="s">
        <v>39</v>
      </c>
      <c r="R166" s="981"/>
    </row>
    <row r="167" spans="1:18" ht="16.149999999999999" thickBot="1">
      <c r="A167" s="922"/>
      <c r="B167" s="376">
        <v>45065</v>
      </c>
      <c r="C167" s="39" t="s">
        <v>36</v>
      </c>
      <c r="D167" s="36" t="s">
        <v>226</v>
      </c>
      <c r="E167" s="76" t="s">
        <v>25</v>
      </c>
      <c r="F167" s="36" t="s">
        <v>26</v>
      </c>
      <c r="G167" s="36">
        <f>17</f>
        <v>17</v>
      </c>
      <c r="H167" s="366">
        <f>180</f>
        <v>180</v>
      </c>
      <c r="I167" s="366">
        <f>0</f>
        <v>0</v>
      </c>
      <c r="J167" s="366">
        <f>180</f>
        <v>180</v>
      </c>
      <c r="K167" s="36">
        <f>17</f>
        <v>17</v>
      </c>
      <c r="L167" s="398">
        <f>J167/G167</f>
        <v>10.588235294117647</v>
      </c>
      <c r="M167" s="916"/>
      <c r="N167" s="979"/>
      <c r="O167" s="924"/>
      <c r="P167" s="916"/>
      <c r="Q167" s="505" t="s">
        <v>39</v>
      </c>
      <c r="R167" s="981"/>
    </row>
    <row r="168" spans="1:18" ht="15" thickBot="1">
      <c r="A168" s="922"/>
      <c r="B168" s="399">
        <v>45066</v>
      </c>
      <c r="C168" s="371" t="s">
        <v>38</v>
      </c>
      <c r="D168" s="70" t="s">
        <v>24</v>
      </c>
      <c r="E168" s="36" t="s">
        <v>25</v>
      </c>
      <c r="F168" s="36" t="s">
        <v>26</v>
      </c>
      <c r="G168" s="36">
        <f>33</f>
        <v>33</v>
      </c>
      <c r="H168" s="366">
        <f>179.5</f>
        <v>179.5</v>
      </c>
      <c r="I168" s="366">
        <f>82.5</f>
        <v>82.5</v>
      </c>
      <c r="J168" s="366">
        <f>I168+H168</f>
        <v>262</v>
      </c>
      <c r="K168" s="36">
        <f>35</f>
        <v>35</v>
      </c>
      <c r="L168" s="398">
        <f>J168/G168</f>
        <v>7.9393939393939394</v>
      </c>
      <c r="M168" s="916"/>
      <c r="N168" s="979"/>
      <c r="O168" s="924"/>
      <c r="P168" s="916"/>
      <c r="Q168" s="507" t="s">
        <v>39</v>
      </c>
      <c r="R168" s="981"/>
    </row>
    <row r="169" spans="1:18" ht="15" thickBot="1">
      <c r="A169" s="922"/>
      <c r="B169" s="382">
        <v>45067</v>
      </c>
      <c r="C169" s="400" t="s">
        <v>41</v>
      </c>
      <c r="D169" s="377" t="s">
        <v>24</v>
      </c>
      <c r="E169" s="377" t="s">
        <v>25</v>
      </c>
      <c r="F169" s="377" t="s">
        <v>26</v>
      </c>
      <c r="G169" s="377">
        <f>23</f>
        <v>23</v>
      </c>
      <c r="H169" s="401">
        <f>192.5</f>
        <v>192.5</v>
      </c>
      <c r="I169" s="401">
        <v>52.5</v>
      </c>
      <c r="J169" s="401">
        <f>H169+I169</f>
        <v>245</v>
      </c>
      <c r="K169" s="377">
        <f>28</f>
        <v>28</v>
      </c>
      <c r="L169" s="398">
        <f>J169/G169</f>
        <v>10.652173913043478</v>
      </c>
      <c r="M169" s="916"/>
      <c r="N169" s="979"/>
      <c r="O169" s="924"/>
      <c r="P169" s="916"/>
      <c r="Q169" s="507" t="s">
        <v>39</v>
      </c>
      <c r="R169" s="981"/>
    </row>
    <row r="170" spans="1:18" ht="16.149999999999999" thickBot="1">
      <c r="A170" s="913" t="s">
        <v>227</v>
      </c>
      <c r="B170" s="418">
        <v>45068</v>
      </c>
      <c r="C170" s="47" t="s">
        <v>21</v>
      </c>
      <c r="D170" s="99"/>
      <c r="E170" s="99"/>
      <c r="F170" s="99"/>
      <c r="G170" s="99"/>
      <c r="H170" s="99"/>
      <c r="I170" s="99"/>
      <c r="J170" s="99"/>
      <c r="K170" s="47"/>
      <c r="L170" s="407"/>
      <c r="M170" s="915">
        <f>SUM(K170:K177)</f>
        <v>183</v>
      </c>
      <c r="N170" s="969">
        <f>P170/M170</f>
        <v>0.7595628415300546</v>
      </c>
      <c r="O170" s="915">
        <f>5</f>
        <v>5</v>
      </c>
      <c r="P170" s="968">
        <f>SUM(G170:G177)</f>
        <v>139</v>
      </c>
      <c r="Q170" s="505" t="s">
        <v>39</v>
      </c>
      <c r="R170" s="981"/>
    </row>
    <row r="171" spans="1:18" ht="16.149999999999999" thickBot="1">
      <c r="A171" s="914"/>
      <c r="B171" s="418">
        <v>45069</v>
      </c>
      <c r="C171" s="24" t="s">
        <v>23</v>
      </c>
      <c r="D171" s="24"/>
      <c r="E171" s="24"/>
      <c r="F171" s="24"/>
      <c r="G171" s="24"/>
      <c r="H171" s="24"/>
      <c r="I171" s="24"/>
      <c r="J171" s="24"/>
      <c r="K171" s="24"/>
      <c r="L171" s="80"/>
      <c r="M171" s="916"/>
      <c r="N171" s="970"/>
      <c r="O171" s="916"/>
      <c r="P171" s="920"/>
      <c r="Q171" s="505" t="s">
        <v>39</v>
      </c>
      <c r="R171" s="981"/>
    </row>
    <row r="172" spans="1:18" ht="16.149999999999999" thickBot="1">
      <c r="A172" s="914"/>
      <c r="B172" s="419">
        <v>45070</v>
      </c>
      <c r="C172" s="402" t="s">
        <v>29</v>
      </c>
      <c r="D172" s="402" t="s">
        <v>24</v>
      </c>
      <c r="E172" s="402" t="s">
        <v>25</v>
      </c>
      <c r="F172" s="402" t="s">
        <v>131</v>
      </c>
      <c r="G172" s="402"/>
      <c r="H172" s="402"/>
      <c r="I172" s="402"/>
      <c r="J172" s="402"/>
      <c r="K172" s="402"/>
      <c r="L172" s="408"/>
      <c r="M172" s="916"/>
      <c r="N172" s="970"/>
      <c r="O172" s="916"/>
      <c r="P172" s="920"/>
      <c r="Q172" s="505" t="s">
        <v>39</v>
      </c>
      <c r="R172" s="981"/>
    </row>
    <row r="173" spans="1:18" ht="16.149999999999999" thickBot="1">
      <c r="A173" s="914"/>
      <c r="B173" s="420">
        <v>45071</v>
      </c>
      <c r="C173" s="36" t="s">
        <v>31</v>
      </c>
      <c r="D173" s="36" t="s">
        <v>62</v>
      </c>
      <c r="E173" s="36" t="s">
        <v>25</v>
      </c>
      <c r="F173" s="36" t="s">
        <v>33</v>
      </c>
      <c r="G173" s="36">
        <f>50</f>
        <v>50</v>
      </c>
      <c r="H173" s="366">
        <f>300.5</f>
        <v>300.5</v>
      </c>
      <c r="I173" s="366">
        <f>112.5</f>
        <v>112.5</v>
      </c>
      <c r="J173" s="366">
        <f>413</f>
        <v>413</v>
      </c>
      <c r="K173" s="36">
        <f>60</f>
        <v>60</v>
      </c>
      <c r="L173" s="79">
        <f>J173/G173</f>
        <v>8.26</v>
      </c>
      <c r="M173" s="916"/>
      <c r="N173" s="970"/>
      <c r="O173" s="916"/>
      <c r="P173" s="920"/>
      <c r="Q173" s="505" t="s">
        <v>39</v>
      </c>
      <c r="R173" s="981"/>
    </row>
    <row r="174" spans="1:18" ht="16.149999999999999" thickBot="1">
      <c r="A174" s="914"/>
      <c r="B174" s="420">
        <v>45072</v>
      </c>
      <c r="C174" s="39" t="s">
        <v>36</v>
      </c>
      <c r="D174" s="36" t="s">
        <v>24</v>
      </c>
      <c r="E174" s="36" t="s">
        <v>25</v>
      </c>
      <c r="F174" s="36" t="s">
        <v>26</v>
      </c>
      <c r="G174" s="36">
        <f>27</f>
        <v>27</v>
      </c>
      <c r="H174" s="366">
        <f>201</f>
        <v>201</v>
      </c>
      <c r="I174" s="366">
        <f>45</f>
        <v>45</v>
      </c>
      <c r="J174" s="366">
        <f>246</f>
        <v>246</v>
      </c>
      <c r="K174" s="36">
        <f>33</f>
        <v>33</v>
      </c>
      <c r="L174" s="409">
        <f>J174/G174</f>
        <v>9.1111111111111107</v>
      </c>
      <c r="M174" s="916"/>
      <c r="N174" s="970"/>
      <c r="O174" s="916"/>
      <c r="P174" s="920"/>
      <c r="Q174" s="508" t="s">
        <v>39</v>
      </c>
      <c r="R174" s="981"/>
    </row>
    <row r="175" spans="1:18" ht="15" thickBot="1">
      <c r="A175" s="914"/>
      <c r="B175" s="421">
        <v>45073</v>
      </c>
      <c r="C175" s="371" t="s">
        <v>38</v>
      </c>
      <c r="D175" s="70" t="s">
        <v>24</v>
      </c>
      <c r="E175" s="36" t="s">
        <v>25</v>
      </c>
      <c r="F175" s="36" t="s">
        <v>33</v>
      </c>
      <c r="G175" s="36">
        <f>36</f>
        <v>36</v>
      </c>
      <c r="H175" s="410">
        <f>220</f>
        <v>220</v>
      </c>
      <c r="I175" s="410">
        <f>90</f>
        <v>90</v>
      </c>
      <c r="J175" s="410">
        <f>310</f>
        <v>310</v>
      </c>
      <c r="K175" s="36">
        <f>50</f>
        <v>50</v>
      </c>
      <c r="L175" s="409">
        <f t="shared" ref="L175:L178" si="5">J175/G175</f>
        <v>8.6111111111111107</v>
      </c>
      <c r="M175" s="916"/>
      <c r="N175" s="970"/>
      <c r="O175" s="916"/>
      <c r="P175" s="920"/>
      <c r="Q175" s="509" t="s">
        <v>39</v>
      </c>
      <c r="R175" s="981"/>
    </row>
    <row r="176" spans="1:18" ht="15" thickBot="1">
      <c r="A176" s="914"/>
      <c r="B176" s="420">
        <v>45073</v>
      </c>
      <c r="C176" s="76" t="s">
        <v>38</v>
      </c>
      <c r="D176" s="36" t="s">
        <v>115</v>
      </c>
      <c r="E176" s="36" t="s">
        <v>25</v>
      </c>
      <c r="F176" s="36" t="s">
        <v>33</v>
      </c>
      <c r="G176" s="36">
        <f>26</f>
        <v>26</v>
      </c>
      <c r="H176" s="410">
        <f>175</f>
        <v>175</v>
      </c>
      <c r="I176" s="410">
        <f>55</f>
        <v>55</v>
      </c>
      <c r="J176" s="410">
        <f>225</f>
        <v>225</v>
      </c>
      <c r="K176" s="36">
        <f>40</f>
        <v>40</v>
      </c>
      <c r="L176" s="409">
        <f t="shared" si="5"/>
        <v>8.6538461538461533</v>
      </c>
      <c r="M176" s="916"/>
      <c r="N176" s="970"/>
      <c r="O176" s="916"/>
      <c r="P176" s="920"/>
      <c r="Q176" s="509" t="s">
        <v>39</v>
      </c>
      <c r="R176" s="981"/>
    </row>
    <row r="177" spans="1:18" ht="15" thickBot="1">
      <c r="A177" s="914"/>
      <c r="B177" s="428">
        <v>45074</v>
      </c>
      <c r="C177" s="429" t="s">
        <v>41</v>
      </c>
      <c r="D177" s="429" t="s">
        <v>24</v>
      </c>
      <c r="E177" s="429" t="s">
        <v>25</v>
      </c>
      <c r="F177" s="429" t="s">
        <v>92</v>
      </c>
      <c r="G177" s="429"/>
      <c r="H177" s="429"/>
      <c r="I177" s="429"/>
      <c r="J177" s="429"/>
      <c r="K177" s="429"/>
      <c r="L177" s="430"/>
      <c r="M177" s="916"/>
      <c r="N177" s="970"/>
      <c r="O177" s="916"/>
      <c r="P177" s="920"/>
      <c r="Q177" s="509" t="s">
        <v>39</v>
      </c>
      <c r="R177" s="981"/>
    </row>
    <row r="178" spans="1:18" ht="15" thickBot="1">
      <c r="A178" s="913" t="s">
        <v>19</v>
      </c>
      <c r="B178" s="432">
        <v>45075</v>
      </c>
      <c r="C178" s="373" t="s">
        <v>21</v>
      </c>
      <c r="D178" s="427" t="s">
        <v>24</v>
      </c>
      <c r="E178" s="427" t="s">
        <v>25</v>
      </c>
      <c r="F178" s="427" t="s">
        <v>33</v>
      </c>
      <c r="G178" s="427">
        <f>30</f>
        <v>30</v>
      </c>
      <c r="H178" s="431">
        <f>211</f>
        <v>211</v>
      </c>
      <c r="I178" s="431">
        <f>70</f>
        <v>70</v>
      </c>
      <c r="J178" s="431">
        <f>281</f>
        <v>281</v>
      </c>
      <c r="K178" s="427">
        <f>58</f>
        <v>58</v>
      </c>
      <c r="L178" s="443">
        <f t="shared" si="5"/>
        <v>9.3666666666666671</v>
      </c>
      <c r="M178" s="911">
        <f>SUM(K178:K185)</f>
        <v>249</v>
      </c>
      <c r="N178" s="973">
        <f>P178/M178</f>
        <v>0.63855421686746983</v>
      </c>
      <c r="O178" s="911">
        <f>5</f>
        <v>5</v>
      </c>
      <c r="P178" s="915">
        <f>SUM(G178:G185)</f>
        <v>159</v>
      </c>
      <c r="Q178" s="509" t="s">
        <v>144</v>
      </c>
      <c r="R178" s="981"/>
    </row>
    <row r="179" spans="1:18" ht="15" thickBot="1">
      <c r="A179" s="914"/>
      <c r="B179" s="418">
        <v>45076</v>
      </c>
      <c r="C179" s="80" t="s">
        <v>23</v>
      </c>
      <c r="D179" s="423"/>
      <c r="E179" s="423"/>
      <c r="F179" s="423"/>
      <c r="G179" s="423"/>
      <c r="H179" s="423"/>
      <c r="I179" s="423"/>
      <c r="J179" s="423"/>
      <c r="K179" s="424"/>
      <c r="L179" s="444"/>
      <c r="M179" s="912"/>
      <c r="N179" s="974"/>
      <c r="O179" s="912"/>
      <c r="P179" s="916"/>
      <c r="Q179" s="510"/>
      <c r="R179" s="981"/>
    </row>
    <row r="180" spans="1:18" ht="15" thickBot="1">
      <c r="A180" s="914"/>
      <c r="B180" s="418">
        <v>45077</v>
      </c>
      <c r="C180" s="80" t="s">
        <v>29</v>
      </c>
      <c r="D180" s="423"/>
      <c r="E180" s="423"/>
      <c r="F180" s="423"/>
      <c r="G180" s="423"/>
      <c r="H180" s="423"/>
      <c r="I180" s="423"/>
      <c r="J180" s="423"/>
      <c r="K180" s="424"/>
      <c r="L180" s="444"/>
      <c r="M180" s="912"/>
      <c r="N180" s="974"/>
      <c r="O180" s="912"/>
      <c r="P180" s="916"/>
      <c r="R180" s="981"/>
    </row>
    <row r="181" spans="1:18" ht="15" thickBot="1">
      <c r="A181" s="914"/>
      <c r="B181" s="433">
        <v>45078</v>
      </c>
      <c r="C181" s="425" t="s">
        <v>31</v>
      </c>
      <c r="D181" s="423"/>
      <c r="E181" s="423"/>
      <c r="F181" s="423"/>
      <c r="G181" s="423"/>
      <c r="H181" s="423"/>
      <c r="I181" s="423"/>
      <c r="J181" s="423"/>
      <c r="K181" s="424"/>
      <c r="L181" s="444"/>
      <c r="M181" s="912"/>
      <c r="N181" s="974"/>
      <c r="O181" s="912"/>
      <c r="P181" s="916"/>
      <c r="Q181" s="510"/>
      <c r="R181" s="980" t="s">
        <v>228</v>
      </c>
    </row>
    <row r="182" spans="1:18" ht="15" thickBot="1">
      <c r="A182" s="914"/>
      <c r="B182" s="434">
        <v>45079</v>
      </c>
      <c r="C182" s="426" t="s">
        <v>36</v>
      </c>
      <c r="D182" s="371" t="s">
        <v>24</v>
      </c>
      <c r="E182" s="371" t="s">
        <v>25</v>
      </c>
      <c r="F182" s="371" t="s">
        <v>33</v>
      </c>
      <c r="G182" s="371">
        <f>43</f>
        <v>43</v>
      </c>
      <c r="H182" s="445">
        <f>347</f>
        <v>347</v>
      </c>
      <c r="I182" s="445">
        <f>105</f>
        <v>105</v>
      </c>
      <c r="J182" s="445">
        <f>H182+I182</f>
        <v>452</v>
      </c>
      <c r="K182" s="371">
        <v>57</v>
      </c>
      <c r="L182" s="446">
        <f>J182/G182</f>
        <v>10.511627906976743</v>
      </c>
      <c r="M182" s="912"/>
      <c r="N182" s="974"/>
      <c r="O182" s="912"/>
      <c r="P182" s="916"/>
      <c r="Q182" s="203" t="s">
        <v>39</v>
      </c>
      <c r="R182" s="981"/>
    </row>
    <row r="183" spans="1:18" ht="15" thickBot="1">
      <c r="A183" s="914"/>
      <c r="B183" s="434">
        <v>45080</v>
      </c>
      <c r="C183" s="426" t="s">
        <v>38</v>
      </c>
      <c r="D183" s="371" t="s">
        <v>24</v>
      </c>
      <c r="E183" s="371" t="s">
        <v>25</v>
      </c>
      <c r="F183" s="371" t="s">
        <v>33</v>
      </c>
      <c r="G183" s="371">
        <f>22</f>
        <v>22</v>
      </c>
      <c r="H183" s="447">
        <f>142</f>
        <v>142</v>
      </c>
      <c r="I183" s="447">
        <f>55</f>
        <v>55</v>
      </c>
      <c r="J183" s="447">
        <f>H183+I183</f>
        <v>197</v>
      </c>
      <c r="K183" s="371">
        <f>44</f>
        <v>44</v>
      </c>
      <c r="L183" s="446">
        <f t="shared" ref="L183:L204" si="6">J183/G183</f>
        <v>8.954545454545455</v>
      </c>
      <c r="M183" s="912"/>
      <c r="N183" s="974"/>
      <c r="O183" s="912"/>
      <c r="P183" s="916"/>
      <c r="Q183" s="509" t="s">
        <v>39</v>
      </c>
      <c r="R183" s="981"/>
    </row>
    <row r="184" spans="1:18" ht="15" thickBot="1">
      <c r="A184" s="914"/>
      <c r="B184" s="434">
        <v>45080</v>
      </c>
      <c r="C184" s="426" t="s">
        <v>38</v>
      </c>
      <c r="D184" s="371" t="s">
        <v>115</v>
      </c>
      <c r="E184" s="371" t="s">
        <v>25</v>
      </c>
      <c r="F184" s="371" t="s">
        <v>33</v>
      </c>
      <c r="G184" s="371">
        <f>22</f>
        <v>22</v>
      </c>
      <c r="H184" s="447">
        <f>158</f>
        <v>158</v>
      </c>
      <c r="I184" s="447">
        <f>55</f>
        <v>55</v>
      </c>
      <c r="J184" s="447">
        <f>H184+I184</f>
        <v>213</v>
      </c>
      <c r="K184" s="371">
        <f>38</f>
        <v>38</v>
      </c>
      <c r="L184" s="446">
        <f t="shared" si="6"/>
        <v>9.6818181818181817</v>
      </c>
      <c r="M184" s="912"/>
      <c r="N184" s="974"/>
      <c r="O184" s="912"/>
      <c r="P184" s="916"/>
      <c r="Q184" s="509" t="s">
        <v>39</v>
      </c>
      <c r="R184" s="981"/>
    </row>
    <row r="185" spans="1:18" ht="15" thickBot="1">
      <c r="A185" s="914"/>
      <c r="B185" s="450">
        <v>45081</v>
      </c>
      <c r="C185" s="451" t="s">
        <v>41</v>
      </c>
      <c r="D185" s="439" t="s">
        <v>24</v>
      </c>
      <c r="E185" s="439" t="s">
        <v>25</v>
      </c>
      <c r="F185" s="439" t="s">
        <v>26</v>
      </c>
      <c r="G185" s="439">
        <f>42</f>
        <v>42</v>
      </c>
      <c r="H185" s="452">
        <f>220</f>
        <v>220</v>
      </c>
      <c r="I185" s="452">
        <f>95</f>
        <v>95</v>
      </c>
      <c r="J185" s="452">
        <f>315</f>
        <v>315</v>
      </c>
      <c r="K185" s="439">
        <f>52</f>
        <v>52</v>
      </c>
      <c r="L185" s="453">
        <f t="shared" si="6"/>
        <v>7.5</v>
      </c>
      <c r="M185" s="912"/>
      <c r="N185" s="974"/>
      <c r="O185" s="912"/>
      <c r="P185" s="916"/>
      <c r="Q185" s="511" t="s">
        <v>39</v>
      </c>
      <c r="R185" s="981"/>
    </row>
    <row r="186" spans="1:18" ht="15" thickBot="1">
      <c r="A186" s="913" t="s">
        <v>212</v>
      </c>
      <c r="B186" s="456">
        <v>45082</v>
      </c>
      <c r="C186" s="454" t="s">
        <v>21</v>
      </c>
      <c r="D186" s="454" t="s">
        <v>24</v>
      </c>
      <c r="E186" s="454" t="s">
        <v>25</v>
      </c>
      <c r="F186" s="454" t="s">
        <v>33</v>
      </c>
      <c r="G186" s="454">
        <f>32</f>
        <v>32</v>
      </c>
      <c r="H186" s="455">
        <f>236.5</f>
        <v>236.5</v>
      </c>
      <c r="I186" s="455">
        <f>80</f>
        <v>80</v>
      </c>
      <c r="J186" s="455">
        <f>316.5</f>
        <v>316.5</v>
      </c>
      <c r="K186" s="454">
        <f>43</f>
        <v>43</v>
      </c>
      <c r="L186" s="457">
        <f t="shared" si="6"/>
        <v>9.890625</v>
      </c>
      <c r="M186" s="911">
        <f>SUM(K186:K194)</f>
        <v>336</v>
      </c>
      <c r="N186" s="971">
        <f>P186/M186</f>
        <v>0.7321428571428571</v>
      </c>
      <c r="O186" s="911">
        <f>8</f>
        <v>8</v>
      </c>
      <c r="P186" s="915">
        <f>SUM(G186:G194)</f>
        <v>246</v>
      </c>
      <c r="Q186" s="511" t="s">
        <v>39</v>
      </c>
      <c r="R186" s="981"/>
    </row>
    <row r="187" spans="1:18" ht="15" thickBot="1">
      <c r="A187" s="914"/>
      <c r="B187" s="434">
        <v>45083</v>
      </c>
      <c r="C187" s="371" t="s">
        <v>23</v>
      </c>
      <c r="D187" s="371" t="s">
        <v>24</v>
      </c>
      <c r="E187" s="371" t="s">
        <v>25</v>
      </c>
      <c r="F187" s="371" t="s">
        <v>33</v>
      </c>
      <c r="G187" s="371">
        <f>32</f>
        <v>32</v>
      </c>
      <c r="H187" s="447">
        <f>200</f>
        <v>200</v>
      </c>
      <c r="I187" s="447">
        <f>70</f>
        <v>70</v>
      </c>
      <c r="J187" s="447">
        <f>270</f>
        <v>270</v>
      </c>
      <c r="K187" s="371">
        <f>45</f>
        <v>45</v>
      </c>
      <c r="L187" s="457">
        <f t="shared" si="6"/>
        <v>8.4375</v>
      </c>
      <c r="M187" s="912"/>
      <c r="N187" s="972"/>
      <c r="O187" s="912"/>
      <c r="P187" s="916"/>
      <c r="Q187" s="511" t="s">
        <v>39</v>
      </c>
      <c r="R187" s="981"/>
    </row>
    <row r="188" spans="1:18" ht="15" thickBot="1">
      <c r="A188" s="914"/>
      <c r="B188" s="434">
        <v>45084</v>
      </c>
      <c r="C188" s="371" t="s">
        <v>29</v>
      </c>
      <c r="D188" s="371" t="s">
        <v>24</v>
      </c>
      <c r="E188" s="371" t="s">
        <v>25</v>
      </c>
      <c r="F188" s="371" t="s">
        <v>26</v>
      </c>
      <c r="G188" s="371">
        <f>20</f>
        <v>20</v>
      </c>
      <c r="H188" s="447">
        <f>203</f>
        <v>203</v>
      </c>
      <c r="I188" s="447">
        <f>50</f>
        <v>50</v>
      </c>
      <c r="J188" s="447">
        <f>253</f>
        <v>253</v>
      </c>
      <c r="K188" s="371">
        <f>34</f>
        <v>34</v>
      </c>
      <c r="L188" s="457">
        <f t="shared" si="6"/>
        <v>12.65</v>
      </c>
      <c r="M188" s="912"/>
      <c r="N188" s="972"/>
      <c r="O188" s="912"/>
      <c r="P188" s="916"/>
      <c r="Q188" s="511" t="s">
        <v>39</v>
      </c>
      <c r="R188" s="981"/>
    </row>
    <row r="189" spans="1:18" ht="15" thickBot="1">
      <c r="A189" s="914"/>
      <c r="B189" s="434">
        <v>45085</v>
      </c>
      <c r="C189" s="371" t="s">
        <v>31</v>
      </c>
      <c r="D189" s="371" t="s">
        <v>24</v>
      </c>
      <c r="E189" s="371" t="s">
        <v>25</v>
      </c>
      <c r="F189" s="371" t="s">
        <v>33</v>
      </c>
      <c r="G189" s="371">
        <f>28</f>
        <v>28</v>
      </c>
      <c r="H189" s="447">
        <f>199</f>
        <v>199</v>
      </c>
      <c r="I189" s="447">
        <f>2.5*28</f>
        <v>70</v>
      </c>
      <c r="J189" s="447">
        <f>I189+H189</f>
        <v>269</v>
      </c>
      <c r="K189" s="371">
        <f>36</f>
        <v>36</v>
      </c>
      <c r="L189" s="457">
        <f t="shared" si="6"/>
        <v>9.6071428571428577</v>
      </c>
      <c r="M189" s="912"/>
      <c r="N189" s="972"/>
      <c r="O189" s="912"/>
      <c r="P189" s="916"/>
      <c r="Q189" s="511" t="s">
        <v>39</v>
      </c>
      <c r="R189" s="981"/>
    </row>
    <row r="190" spans="1:18" ht="15" thickBot="1">
      <c r="A190" s="914"/>
      <c r="B190" s="434">
        <v>45086</v>
      </c>
      <c r="C190" s="371" t="s">
        <v>36</v>
      </c>
      <c r="D190" s="371" t="s">
        <v>24</v>
      </c>
      <c r="E190" s="371" t="s">
        <v>25</v>
      </c>
      <c r="F190" s="371" t="s">
        <v>33</v>
      </c>
      <c r="G190" s="371">
        <f>46</f>
        <v>46</v>
      </c>
      <c r="H190" s="447">
        <f>270</f>
        <v>270</v>
      </c>
      <c r="I190" s="447">
        <f>105</f>
        <v>105</v>
      </c>
      <c r="J190" s="447">
        <f>360</f>
        <v>360</v>
      </c>
      <c r="K190" s="371">
        <f>60</f>
        <v>60</v>
      </c>
      <c r="L190" s="457">
        <f t="shared" si="6"/>
        <v>7.8260869565217392</v>
      </c>
      <c r="M190" s="912"/>
      <c r="N190" s="972"/>
      <c r="O190" s="912"/>
      <c r="P190" s="916"/>
      <c r="Q190" s="511" t="s">
        <v>39</v>
      </c>
      <c r="R190" s="981"/>
    </row>
    <row r="191" spans="1:18" ht="15" thickBot="1">
      <c r="A191" s="914"/>
      <c r="B191" s="434">
        <v>45087</v>
      </c>
      <c r="C191" s="371" t="s">
        <v>38</v>
      </c>
      <c r="D191" s="371" t="s">
        <v>24</v>
      </c>
      <c r="E191" s="371" t="s">
        <v>25</v>
      </c>
      <c r="F191" s="371" t="s">
        <v>26</v>
      </c>
      <c r="G191" s="371">
        <f>29</f>
        <v>29</v>
      </c>
      <c r="H191" s="447">
        <f>255</f>
        <v>255</v>
      </c>
      <c r="I191" s="447">
        <f>26*2.5</f>
        <v>65</v>
      </c>
      <c r="J191" s="447">
        <f>320</f>
        <v>320</v>
      </c>
      <c r="K191" s="371">
        <f>36</f>
        <v>36</v>
      </c>
      <c r="L191" s="457">
        <f t="shared" si="6"/>
        <v>11.03448275862069</v>
      </c>
      <c r="M191" s="912"/>
      <c r="N191" s="972"/>
      <c r="O191" s="912"/>
      <c r="P191" s="916"/>
      <c r="Q191" s="511" t="s">
        <v>39</v>
      </c>
      <c r="R191" s="981"/>
    </row>
    <row r="192" spans="1:18" ht="15" thickBot="1">
      <c r="A192" s="914"/>
      <c r="B192" s="468">
        <v>45087</v>
      </c>
      <c r="C192" s="469" t="s">
        <v>38</v>
      </c>
      <c r="D192" s="469" t="s">
        <v>115</v>
      </c>
      <c r="E192" s="469" t="s">
        <v>25</v>
      </c>
      <c r="F192" s="469" t="s">
        <v>92</v>
      </c>
      <c r="G192" s="469"/>
      <c r="H192" s="470"/>
      <c r="I192" s="470"/>
      <c r="J192" s="470"/>
      <c r="K192" s="469"/>
      <c r="L192" s="472"/>
      <c r="M192" s="912"/>
      <c r="N192" s="972"/>
      <c r="O192" s="912"/>
      <c r="P192" s="916"/>
      <c r="Q192" s="511" t="s">
        <v>39</v>
      </c>
      <c r="R192" s="981"/>
    </row>
    <row r="193" spans="1:18" ht="15" thickBot="1">
      <c r="A193" s="914"/>
      <c r="B193" s="434">
        <v>45088</v>
      </c>
      <c r="C193" s="371" t="s">
        <v>41</v>
      </c>
      <c r="D193" s="371" t="s">
        <v>24</v>
      </c>
      <c r="E193" s="371" t="s">
        <v>25</v>
      </c>
      <c r="F193" s="371" t="s">
        <v>26</v>
      </c>
      <c r="G193" s="371">
        <f>30</f>
        <v>30</v>
      </c>
      <c r="H193" s="447">
        <f>240</f>
        <v>240</v>
      </c>
      <c r="I193" s="447">
        <f>65</f>
        <v>65</v>
      </c>
      <c r="J193" s="447">
        <f>305</f>
        <v>305</v>
      </c>
      <c r="K193" s="371">
        <f>36</f>
        <v>36</v>
      </c>
      <c r="L193" s="457">
        <f t="shared" si="6"/>
        <v>10.166666666666666</v>
      </c>
      <c r="M193" s="912"/>
      <c r="N193" s="972"/>
      <c r="O193" s="912"/>
      <c r="P193" s="916"/>
      <c r="Q193" s="511" t="s">
        <v>39</v>
      </c>
      <c r="R193" s="981"/>
    </row>
    <row r="194" spans="1:18" ht="15" thickBot="1">
      <c r="A194" s="914"/>
      <c r="B194" s="450">
        <v>45088</v>
      </c>
      <c r="C194" s="439" t="s">
        <v>41</v>
      </c>
      <c r="D194" s="439" t="s">
        <v>115</v>
      </c>
      <c r="E194" s="439" t="s">
        <v>25</v>
      </c>
      <c r="F194" s="439" t="s">
        <v>33</v>
      </c>
      <c r="G194" s="439">
        <v>29</v>
      </c>
      <c r="H194" s="452">
        <f>352.5</f>
        <v>352.5</v>
      </c>
      <c r="I194" s="467">
        <v>67.5</v>
      </c>
      <c r="J194" s="467">
        <f>H194+I194</f>
        <v>420</v>
      </c>
      <c r="K194" s="435">
        <f>46</f>
        <v>46</v>
      </c>
      <c r="L194" s="457">
        <f t="shared" si="6"/>
        <v>14.482758620689655</v>
      </c>
      <c r="M194" s="912"/>
      <c r="N194" s="972"/>
      <c r="O194" s="912"/>
      <c r="P194" s="916"/>
      <c r="Q194" s="509" t="s">
        <v>39</v>
      </c>
      <c r="R194" s="981"/>
    </row>
    <row r="195" spans="1:18">
      <c r="A195" s="913" t="s">
        <v>175</v>
      </c>
      <c r="B195" s="434">
        <v>45089</v>
      </c>
      <c r="C195" s="371" t="s">
        <v>21</v>
      </c>
      <c r="D195" s="371" t="s">
        <v>24</v>
      </c>
      <c r="E195" s="371" t="s">
        <v>25</v>
      </c>
      <c r="F195" s="371" t="s">
        <v>33</v>
      </c>
      <c r="G195" s="371">
        <f>46</f>
        <v>46</v>
      </c>
      <c r="H195" s="447">
        <f>263</f>
        <v>263</v>
      </c>
      <c r="I195" s="476">
        <f>42*2.5</f>
        <v>105</v>
      </c>
      <c r="J195" s="476">
        <f>368</f>
        <v>368</v>
      </c>
      <c r="K195" s="388">
        <f>58</f>
        <v>58</v>
      </c>
      <c r="L195" s="480">
        <f t="shared" si="6"/>
        <v>8</v>
      </c>
      <c r="M195" s="911">
        <f>SUM(K195:K202)</f>
        <v>257</v>
      </c>
      <c r="N195" s="926">
        <f>P195/M195</f>
        <v>0.61867704280155644</v>
      </c>
      <c r="O195" s="911">
        <f>5</f>
        <v>5</v>
      </c>
      <c r="P195" s="911">
        <f>SUM(G195:G202)</f>
        <v>159</v>
      </c>
      <c r="Q195" s="512" t="s">
        <v>39</v>
      </c>
      <c r="R195" s="981"/>
    </row>
    <row r="196" spans="1:18">
      <c r="A196" s="914"/>
      <c r="B196" s="491">
        <v>45090</v>
      </c>
      <c r="C196" s="424" t="s">
        <v>23</v>
      </c>
      <c r="D196" s="424"/>
      <c r="E196" s="424"/>
      <c r="F196" s="424"/>
      <c r="G196" s="424"/>
      <c r="H196" s="492"/>
      <c r="I196" s="493"/>
      <c r="J196" s="492"/>
      <c r="K196" s="424"/>
      <c r="L196" s="494"/>
      <c r="M196" s="912"/>
      <c r="N196" s="927"/>
      <c r="O196" s="912"/>
      <c r="P196" s="912"/>
      <c r="Q196" s="512"/>
      <c r="R196" s="981"/>
    </row>
    <row r="197" spans="1:18">
      <c r="A197" s="914"/>
      <c r="B197" s="434">
        <v>45091</v>
      </c>
      <c r="C197" s="371" t="s">
        <v>29</v>
      </c>
      <c r="D197" s="371" t="s">
        <v>24</v>
      </c>
      <c r="E197" s="371" t="s">
        <v>25</v>
      </c>
      <c r="F197" s="371" t="s">
        <v>33</v>
      </c>
      <c r="G197" s="371">
        <f>30</f>
        <v>30</v>
      </c>
      <c r="H197" s="447">
        <f>155</f>
        <v>155</v>
      </c>
      <c r="I197" s="484">
        <f>75</f>
        <v>75</v>
      </c>
      <c r="J197" s="447">
        <f>I197+H197</f>
        <v>230</v>
      </c>
      <c r="K197" s="371">
        <f>36</f>
        <v>36</v>
      </c>
      <c r="L197" s="446">
        <f t="shared" si="6"/>
        <v>7.666666666666667</v>
      </c>
      <c r="M197" s="912"/>
      <c r="N197" s="927"/>
      <c r="O197" s="912"/>
      <c r="P197" s="912"/>
      <c r="Q197" s="512" t="s">
        <v>39</v>
      </c>
      <c r="R197" s="981"/>
    </row>
    <row r="198" spans="1:18">
      <c r="A198" s="914"/>
      <c r="B198" s="489">
        <v>45092</v>
      </c>
      <c r="C198" s="486" t="s">
        <v>31</v>
      </c>
      <c r="D198" s="486" t="s">
        <v>24</v>
      </c>
      <c r="E198" s="486" t="s">
        <v>25</v>
      </c>
      <c r="F198" s="486" t="s">
        <v>131</v>
      </c>
      <c r="G198" s="486"/>
      <c r="H198" s="487"/>
      <c r="I198" s="488"/>
      <c r="J198" s="487"/>
      <c r="K198" s="486"/>
      <c r="L198" s="490"/>
      <c r="M198" s="912"/>
      <c r="N198" s="927"/>
      <c r="O198" s="912"/>
      <c r="P198" s="912"/>
      <c r="Q198" s="512"/>
      <c r="R198" s="981"/>
    </row>
    <row r="199" spans="1:18">
      <c r="A199" s="914"/>
      <c r="B199" s="489">
        <v>45093</v>
      </c>
      <c r="C199" s="486" t="s">
        <v>36</v>
      </c>
      <c r="D199" s="486" t="s">
        <v>24</v>
      </c>
      <c r="E199" s="486" t="s">
        <v>25</v>
      </c>
      <c r="F199" s="486" t="s">
        <v>131</v>
      </c>
      <c r="G199" s="486"/>
      <c r="H199" s="487"/>
      <c r="I199" s="488"/>
      <c r="J199" s="487"/>
      <c r="K199" s="486"/>
      <c r="L199" s="490"/>
      <c r="M199" s="912"/>
      <c r="N199" s="927"/>
      <c r="O199" s="912"/>
      <c r="P199" s="912"/>
      <c r="Q199" s="512"/>
      <c r="R199" s="981"/>
    </row>
    <row r="200" spans="1:18">
      <c r="A200" s="914"/>
      <c r="B200" s="434">
        <v>45094</v>
      </c>
      <c r="C200" s="371" t="s">
        <v>38</v>
      </c>
      <c r="D200" s="371" t="s">
        <v>24</v>
      </c>
      <c r="E200" s="371" t="s">
        <v>25</v>
      </c>
      <c r="F200" s="371" t="s">
        <v>33</v>
      </c>
      <c r="G200" s="371">
        <v>40</v>
      </c>
      <c r="H200" s="447">
        <f>315</f>
        <v>315</v>
      </c>
      <c r="I200" s="485">
        <f>100</f>
        <v>100</v>
      </c>
      <c r="J200" s="452">
        <f>415</f>
        <v>415</v>
      </c>
      <c r="K200" s="439">
        <f>55</f>
        <v>55</v>
      </c>
      <c r="L200" s="453">
        <f t="shared" si="6"/>
        <v>10.375</v>
      </c>
      <c r="M200" s="912"/>
      <c r="N200" s="927"/>
      <c r="O200" s="912"/>
      <c r="P200" s="912"/>
      <c r="Q200" s="512" t="s">
        <v>39</v>
      </c>
      <c r="R200" s="981"/>
    </row>
    <row r="201" spans="1:18">
      <c r="A201" s="914"/>
      <c r="B201" s="434">
        <v>45094</v>
      </c>
      <c r="C201" s="371" t="s">
        <v>38</v>
      </c>
      <c r="D201" s="371" t="s">
        <v>115</v>
      </c>
      <c r="E201" s="371" t="s">
        <v>25</v>
      </c>
      <c r="F201" s="371" t="s">
        <v>33</v>
      </c>
      <c r="G201" s="371">
        <f>21</f>
        <v>21</v>
      </c>
      <c r="H201" s="447">
        <f>187.5</f>
        <v>187.5</v>
      </c>
      <c r="I201" s="484">
        <f>52.5</f>
        <v>52.5</v>
      </c>
      <c r="J201" s="447">
        <f>I201+H201</f>
        <v>240</v>
      </c>
      <c r="K201" s="371">
        <f>60</f>
        <v>60</v>
      </c>
      <c r="L201" s="453">
        <f t="shared" si="6"/>
        <v>11.428571428571429</v>
      </c>
      <c r="M201" s="912"/>
      <c r="N201" s="927"/>
      <c r="O201" s="912"/>
      <c r="P201" s="912"/>
      <c r="Q201" s="512" t="s">
        <v>39</v>
      </c>
      <c r="R201" s="981"/>
    </row>
    <row r="202" spans="1:18" ht="15" thickBot="1">
      <c r="A202" s="914"/>
      <c r="B202" s="434">
        <v>45095</v>
      </c>
      <c r="C202" s="439" t="s">
        <v>41</v>
      </c>
      <c r="D202" s="439" t="s">
        <v>115</v>
      </c>
      <c r="E202" s="439" t="s">
        <v>25</v>
      </c>
      <c r="F202" s="439" t="s">
        <v>26</v>
      </c>
      <c r="G202" s="439">
        <f>22</f>
        <v>22</v>
      </c>
      <c r="H202" s="452">
        <f>232.5</f>
        <v>232.5</v>
      </c>
      <c r="I202" s="485">
        <f>47.5</f>
        <v>47.5</v>
      </c>
      <c r="J202" s="452">
        <f>H202+I202</f>
        <v>280</v>
      </c>
      <c r="K202" s="439">
        <f>48</f>
        <v>48</v>
      </c>
      <c r="L202" s="453">
        <f t="shared" si="6"/>
        <v>12.727272727272727</v>
      </c>
      <c r="M202" s="912"/>
      <c r="N202" s="927"/>
      <c r="O202" s="912"/>
      <c r="P202" s="912"/>
      <c r="Q202" s="513" t="s">
        <v>39</v>
      </c>
      <c r="R202" s="981"/>
    </row>
    <row r="203" spans="1:18">
      <c r="A203" s="913" t="s">
        <v>227</v>
      </c>
      <c r="B203" s="497">
        <v>45096</v>
      </c>
      <c r="C203" s="423" t="s">
        <v>44</v>
      </c>
      <c r="D203" s="423"/>
      <c r="E203" s="423"/>
      <c r="F203" s="423"/>
      <c r="G203" s="423"/>
      <c r="H203" s="498"/>
      <c r="I203" s="498"/>
      <c r="J203" s="498"/>
      <c r="K203" s="424"/>
      <c r="L203" s="494"/>
      <c r="M203" s="911">
        <f>SUM(K203:K211)</f>
        <v>202</v>
      </c>
      <c r="N203" s="973">
        <f>P203/M203</f>
        <v>0.66831683168316836</v>
      </c>
      <c r="O203" s="911">
        <f>5</f>
        <v>5</v>
      </c>
      <c r="P203" s="911">
        <f>SUM(G203:G211)</f>
        <v>135</v>
      </c>
      <c r="Q203" s="514"/>
      <c r="R203" s="982"/>
    </row>
    <row r="204" spans="1:18">
      <c r="A204" s="914"/>
      <c r="B204" s="499">
        <v>45097</v>
      </c>
      <c r="C204" s="371" t="s">
        <v>23</v>
      </c>
      <c r="D204" s="371" t="s">
        <v>24</v>
      </c>
      <c r="E204" s="371" t="s">
        <v>25</v>
      </c>
      <c r="F204" s="371" t="s">
        <v>26</v>
      </c>
      <c r="G204" s="371">
        <f>16</f>
        <v>16</v>
      </c>
      <c r="H204" s="371">
        <f>105</f>
        <v>105</v>
      </c>
      <c r="I204" s="371">
        <f>40</f>
        <v>40</v>
      </c>
      <c r="J204" s="371">
        <f>145</f>
        <v>145</v>
      </c>
      <c r="K204" s="371">
        <f>28</f>
        <v>28</v>
      </c>
      <c r="L204" s="446">
        <f t="shared" si="6"/>
        <v>9.0625</v>
      </c>
      <c r="M204" s="912"/>
      <c r="N204" s="974"/>
      <c r="O204" s="912"/>
      <c r="P204" s="912"/>
      <c r="Q204" s="514" t="s">
        <v>39</v>
      </c>
      <c r="R204" s="982"/>
    </row>
    <row r="205" spans="1:18">
      <c r="A205" s="914"/>
      <c r="B205" s="497">
        <v>45098</v>
      </c>
      <c r="C205" s="423" t="s">
        <v>29</v>
      </c>
      <c r="D205" s="423"/>
      <c r="E205" s="423"/>
      <c r="F205" s="423"/>
      <c r="G205" s="423"/>
      <c r="H205" s="423"/>
      <c r="I205" s="423"/>
      <c r="J205" s="423"/>
      <c r="K205" s="424"/>
      <c r="L205" s="444"/>
      <c r="M205" s="912"/>
      <c r="N205" s="974"/>
      <c r="O205" s="912"/>
      <c r="P205" s="912"/>
      <c r="Q205" s="514"/>
      <c r="R205" s="982"/>
    </row>
    <row r="206" spans="1:18">
      <c r="A206" s="914"/>
      <c r="B206" s="497">
        <v>45099</v>
      </c>
      <c r="C206" s="423" t="s">
        <v>50</v>
      </c>
      <c r="D206" s="423"/>
      <c r="E206" s="423"/>
      <c r="F206" s="423"/>
      <c r="G206" s="423"/>
      <c r="H206" s="423"/>
      <c r="I206" s="423"/>
      <c r="J206" s="423"/>
      <c r="K206" s="424"/>
      <c r="L206" s="444"/>
      <c r="M206" s="912"/>
      <c r="N206" s="974"/>
      <c r="O206" s="912"/>
      <c r="P206" s="912"/>
      <c r="Q206" s="514"/>
      <c r="R206" s="982"/>
    </row>
    <row r="207" spans="1:18">
      <c r="A207" s="914"/>
      <c r="B207" s="497">
        <v>45100</v>
      </c>
      <c r="C207" s="423" t="s">
        <v>36</v>
      </c>
      <c r="D207" s="423"/>
      <c r="E207" s="423"/>
      <c r="F207" s="423"/>
      <c r="G207" s="423"/>
      <c r="H207" s="423"/>
      <c r="I207" s="423"/>
      <c r="J207" s="423"/>
      <c r="K207" s="424"/>
      <c r="L207" s="444"/>
      <c r="M207" s="912"/>
      <c r="N207" s="974"/>
      <c r="O207" s="912"/>
      <c r="P207" s="912"/>
      <c r="Q207" s="514"/>
      <c r="R207" s="982"/>
    </row>
    <row r="208" spans="1:18">
      <c r="A208" s="914"/>
      <c r="B208" s="499">
        <v>45101</v>
      </c>
      <c r="C208" s="371" t="s">
        <v>38</v>
      </c>
      <c r="D208" s="371" t="s">
        <v>24</v>
      </c>
      <c r="E208" s="371" t="s">
        <v>25</v>
      </c>
      <c r="F208" s="371" t="s">
        <v>26</v>
      </c>
      <c r="G208" s="371">
        <f>24</f>
        <v>24</v>
      </c>
      <c r="H208" s="447">
        <f>205</f>
        <v>205</v>
      </c>
      <c r="I208" s="447">
        <f>55</f>
        <v>55</v>
      </c>
      <c r="J208" s="447">
        <f>260</f>
        <v>260</v>
      </c>
      <c r="K208" s="500">
        <f>27</f>
        <v>27</v>
      </c>
      <c r="L208" s="502">
        <f t="shared" ref="L208:L213" si="7">J208/G208</f>
        <v>10.833333333333334</v>
      </c>
      <c r="M208" s="912"/>
      <c r="N208" s="974"/>
      <c r="O208" s="912"/>
      <c r="P208" s="912"/>
      <c r="Q208" s="514" t="s">
        <v>39</v>
      </c>
      <c r="R208" s="982"/>
    </row>
    <row r="209" spans="1:18">
      <c r="A209" s="914"/>
      <c r="B209" s="499">
        <v>45101</v>
      </c>
      <c r="C209" s="371" t="s">
        <v>38</v>
      </c>
      <c r="D209" s="371" t="s">
        <v>115</v>
      </c>
      <c r="E209" s="371" t="s">
        <v>25</v>
      </c>
      <c r="F209" s="371" t="s">
        <v>33</v>
      </c>
      <c r="G209" s="371">
        <f>34</f>
        <v>34</v>
      </c>
      <c r="H209" s="447">
        <f>310</f>
        <v>310</v>
      </c>
      <c r="I209" s="447">
        <f>75</f>
        <v>75</v>
      </c>
      <c r="J209" s="447">
        <f>385</f>
        <v>385</v>
      </c>
      <c r="K209" s="500">
        <f>60</f>
        <v>60</v>
      </c>
      <c r="L209" s="502">
        <f t="shared" si="7"/>
        <v>11.323529411764707</v>
      </c>
      <c r="M209" s="912"/>
      <c r="N209" s="974"/>
      <c r="O209" s="912"/>
      <c r="P209" s="912"/>
      <c r="Q209" s="514" t="s">
        <v>39</v>
      </c>
      <c r="R209" s="982"/>
    </row>
    <row r="210" spans="1:18">
      <c r="A210" s="914"/>
      <c r="B210" s="499">
        <v>45102</v>
      </c>
      <c r="C210" s="371" t="s">
        <v>41</v>
      </c>
      <c r="D210" s="371" t="s">
        <v>24</v>
      </c>
      <c r="E210" s="371" t="s">
        <v>25</v>
      </c>
      <c r="F210" s="371" t="s">
        <v>26</v>
      </c>
      <c r="G210" s="371">
        <f>24</f>
        <v>24</v>
      </c>
      <c r="H210" s="447">
        <f>175</f>
        <v>175</v>
      </c>
      <c r="I210" s="447">
        <f>30</f>
        <v>30</v>
      </c>
      <c r="J210" s="447">
        <f>205</f>
        <v>205</v>
      </c>
      <c r="K210" s="500">
        <f>27</f>
        <v>27</v>
      </c>
      <c r="L210" s="502">
        <f t="shared" si="7"/>
        <v>8.5416666666666661</v>
      </c>
      <c r="M210" s="912"/>
      <c r="N210" s="974"/>
      <c r="O210" s="912"/>
      <c r="P210" s="912"/>
      <c r="Q210" s="514" t="s">
        <v>39</v>
      </c>
      <c r="R210" s="982"/>
    </row>
    <row r="211" spans="1:18" ht="15" thickBot="1">
      <c r="A211" s="914"/>
      <c r="B211" s="515">
        <v>45102</v>
      </c>
      <c r="C211" s="439" t="s">
        <v>41</v>
      </c>
      <c r="D211" s="439" t="s">
        <v>115</v>
      </c>
      <c r="E211" s="439" t="s">
        <v>25</v>
      </c>
      <c r="F211" s="439" t="s">
        <v>33</v>
      </c>
      <c r="G211" s="439">
        <f>37</f>
        <v>37</v>
      </c>
      <c r="H211" s="452">
        <f>332.5</f>
        <v>332.5</v>
      </c>
      <c r="I211" s="452">
        <f>31*2.5</f>
        <v>77.5</v>
      </c>
      <c r="J211" s="452">
        <f>H211+I211</f>
        <v>410</v>
      </c>
      <c r="K211" s="516">
        <f>60</f>
        <v>60</v>
      </c>
      <c r="L211" s="517">
        <f t="shared" si="7"/>
        <v>11.081081081081081</v>
      </c>
      <c r="M211" s="912"/>
      <c r="N211" s="974"/>
      <c r="O211" s="912"/>
      <c r="P211" s="912"/>
      <c r="Q211" s="514" t="s">
        <v>39</v>
      </c>
      <c r="R211" s="982"/>
    </row>
    <row r="212" spans="1:18">
      <c r="A212" s="921" t="s">
        <v>229</v>
      </c>
      <c r="B212" s="539">
        <v>45103</v>
      </c>
      <c r="C212" s="454" t="s">
        <v>44</v>
      </c>
      <c r="D212" s="454" t="s">
        <v>24</v>
      </c>
      <c r="E212" s="454" t="s">
        <v>25</v>
      </c>
      <c r="F212" s="454" t="s">
        <v>26</v>
      </c>
      <c r="G212" s="454">
        <f>22</f>
        <v>22</v>
      </c>
      <c r="H212" s="455">
        <f>243</f>
        <v>243</v>
      </c>
      <c r="I212" s="455">
        <f>22*2.5</f>
        <v>55</v>
      </c>
      <c r="J212" s="455">
        <f>SUM(H212+I212)</f>
        <v>298</v>
      </c>
      <c r="K212" s="540">
        <f>36</f>
        <v>36</v>
      </c>
      <c r="L212" s="541">
        <f t="shared" si="7"/>
        <v>13.545454545454545</v>
      </c>
      <c r="M212" s="925">
        <f>SUM(K212:K219)</f>
        <v>265</v>
      </c>
      <c r="N212" s="926">
        <f>P212/M212</f>
        <v>0.5811320754716981</v>
      </c>
      <c r="O212" s="911">
        <f>6</f>
        <v>6</v>
      </c>
      <c r="P212" s="911">
        <f>SUM(G212:G219)</f>
        <v>154</v>
      </c>
      <c r="Q212" s="514" t="s">
        <v>39</v>
      </c>
      <c r="R212" s="982"/>
    </row>
    <row r="213" spans="1:18">
      <c r="A213" s="922"/>
      <c r="B213" s="526">
        <v>45104</v>
      </c>
      <c r="C213" s="371" t="s">
        <v>23</v>
      </c>
      <c r="D213" s="371" t="s">
        <v>24</v>
      </c>
      <c r="E213" s="371" t="s">
        <v>25</v>
      </c>
      <c r="F213" s="371" t="s">
        <v>33</v>
      </c>
      <c r="G213" s="371">
        <f>40</f>
        <v>40</v>
      </c>
      <c r="H213" s="447">
        <f>235</f>
        <v>235</v>
      </c>
      <c r="I213" s="447">
        <f>95</f>
        <v>95</v>
      </c>
      <c r="J213" s="447">
        <f>I213+H213</f>
        <v>330</v>
      </c>
      <c r="K213" s="500">
        <f>60</f>
        <v>60</v>
      </c>
      <c r="L213" s="542">
        <f t="shared" si="7"/>
        <v>8.25</v>
      </c>
      <c r="M213" s="985"/>
      <c r="N213" s="927"/>
      <c r="O213" s="912"/>
      <c r="P213" s="912"/>
      <c r="Q213" s="514" t="s">
        <v>39</v>
      </c>
      <c r="R213" s="982"/>
    </row>
    <row r="214" spans="1:18">
      <c r="A214" s="922"/>
      <c r="B214" s="543">
        <v>45105</v>
      </c>
      <c r="C214" s="423" t="s">
        <v>29</v>
      </c>
      <c r="D214" s="423"/>
      <c r="E214" s="423"/>
      <c r="F214" s="423"/>
      <c r="G214" s="423"/>
      <c r="H214" s="498"/>
      <c r="I214" s="498"/>
      <c r="J214" s="498"/>
      <c r="K214" s="501"/>
      <c r="L214" s="544"/>
      <c r="M214" s="985"/>
      <c r="N214" s="927"/>
      <c r="O214" s="912"/>
      <c r="P214" s="912"/>
      <c r="Q214" s="514"/>
      <c r="R214" s="982"/>
    </row>
    <row r="215" spans="1:18">
      <c r="A215" s="922"/>
      <c r="B215" s="526">
        <v>45106</v>
      </c>
      <c r="C215" s="371" t="s">
        <v>50</v>
      </c>
      <c r="D215" s="371" t="s">
        <v>24</v>
      </c>
      <c r="E215" s="371" t="s">
        <v>25</v>
      </c>
      <c r="F215" s="371" t="s">
        <v>26</v>
      </c>
      <c r="G215" s="371">
        <f>24</f>
        <v>24</v>
      </c>
      <c r="H215" s="447">
        <f>130</f>
        <v>130</v>
      </c>
      <c r="I215" s="447">
        <f>60</f>
        <v>60</v>
      </c>
      <c r="J215" s="447">
        <f>190</f>
        <v>190</v>
      </c>
      <c r="K215" s="500">
        <f>42</f>
        <v>42</v>
      </c>
      <c r="L215" s="527">
        <f>J215/G215</f>
        <v>7.916666666666667</v>
      </c>
      <c r="M215" s="985"/>
      <c r="N215" s="927"/>
      <c r="O215" s="912"/>
      <c r="P215" s="912"/>
      <c r="Q215" s="514" t="s">
        <v>39</v>
      </c>
      <c r="R215" s="982"/>
    </row>
    <row r="216" spans="1:18" ht="15" thickBot="1">
      <c r="A216" s="922"/>
      <c r="B216" s="528">
        <v>45107</v>
      </c>
      <c r="C216" s="486" t="s">
        <v>36</v>
      </c>
      <c r="D216" s="486" t="s">
        <v>24</v>
      </c>
      <c r="E216" s="486" t="s">
        <v>131</v>
      </c>
      <c r="F216" s="486"/>
      <c r="G216" s="486"/>
      <c r="H216" s="487"/>
      <c r="I216" s="487"/>
      <c r="J216" s="487"/>
      <c r="K216" s="524"/>
      <c r="L216" s="530"/>
      <c r="M216" s="985"/>
      <c r="N216" s="927"/>
      <c r="O216" s="912"/>
      <c r="P216" s="912"/>
      <c r="Q216" s="514"/>
      <c r="R216" s="982"/>
    </row>
    <row r="217" spans="1:18">
      <c r="A217" s="922"/>
      <c r="B217" s="526">
        <v>45108</v>
      </c>
      <c r="C217" s="371" t="s">
        <v>38</v>
      </c>
      <c r="D217" s="371" t="s">
        <v>24</v>
      </c>
      <c r="E217" s="371" t="s">
        <v>25</v>
      </c>
      <c r="F217" s="371" t="s">
        <v>26</v>
      </c>
      <c r="G217" s="371">
        <f>27</f>
        <v>27</v>
      </c>
      <c r="H217" s="447">
        <f>207.5</f>
        <v>207.5</v>
      </c>
      <c r="I217" s="447">
        <f>65</f>
        <v>65</v>
      </c>
      <c r="J217" s="447">
        <f>H217+I217</f>
        <v>272.5</v>
      </c>
      <c r="K217" s="500">
        <f>43</f>
        <v>43</v>
      </c>
      <c r="L217" s="527">
        <f>J217/G217</f>
        <v>10.092592592592593</v>
      </c>
      <c r="M217" s="985"/>
      <c r="N217" s="927"/>
      <c r="O217" s="912"/>
      <c r="P217" s="912"/>
      <c r="Q217" s="512" t="s">
        <v>39</v>
      </c>
      <c r="R217" s="975" t="s">
        <v>230</v>
      </c>
    </row>
    <row r="218" spans="1:18">
      <c r="A218" s="922"/>
      <c r="B218" s="526">
        <v>45109</v>
      </c>
      <c r="C218" s="371" t="s">
        <v>41</v>
      </c>
      <c r="D218" s="371" t="s">
        <v>24</v>
      </c>
      <c r="E218" s="371" t="s">
        <v>25</v>
      </c>
      <c r="F218" s="371" t="s">
        <v>26</v>
      </c>
      <c r="G218" s="371">
        <f>17</f>
        <v>17</v>
      </c>
      <c r="H218" s="447">
        <f>192.5</f>
        <v>192.5</v>
      </c>
      <c r="I218" s="447">
        <f>42.5</f>
        <v>42.5</v>
      </c>
      <c r="J218" s="447">
        <f>235</f>
        <v>235</v>
      </c>
      <c r="K218" s="500">
        <f>24</f>
        <v>24</v>
      </c>
      <c r="L218" s="527">
        <f t="shared" ref="L218:L222" si="8">J218/G218</f>
        <v>13.823529411764707</v>
      </c>
      <c r="M218" s="985"/>
      <c r="N218" s="927"/>
      <c r="O218" s="912"/>
      <c r="P218" s="912"/>
      <c r="Q218" s="512" t="s">
        <v>39</v>
      </c>
      <c r="R218" s="976"/>
    </row>
    <row r="219" spans="1:18" ht="15" thickBot="1">
      <c r="A219" s="922"/>
      <c r="B219" s="545">
        <v>45109</v>
      </c>
      <c r="C219" s="435" t="s">
        <v>41</v>
      </c>
      <c r="D219" s="435" t="s">
        <v>115</v>
      </c>
      <c r="E219" s="435" t="s">
        <v>25</v>
      </c>
      <c r="F219" s="435" t="s">
        <v>33</v>
      </c>
      <c r="G219" s="435">
        <f>24</f>
        <v>24</v>
      </c>
      <c r="H219" s="467">
        <f>247.5</f>
        <v>247.5</v>
      </c>
      <c r="I219" s="467">
        <f>57.5</f>
        <v>57.5</v>
      </c>
      <c r="J219" s="467">
        <f>305</f>
        <v>305</v>
      </c>
      <c r="K219" s="546">
        <f>60</f>
        <v>60</v>
      </c>
      <c r="L219" s="547">
        <f t="shared" si="8"/>
        <v>12.708333333333334</v>
      </c>
      <c r="M219" s="985"/>
      <c r="N219" s="927"/>
      <c r="O219" s="912"/>
      <c r="P219" s="912"/>
      <c r="Q219" s="513" t="s">
        <v>39</v>
      </c>
      <c r="R219" s="976"/>
    </row>
    <row r="220" spans="1:18">
      <c r="A220" s="921" t="s">
        <v>42</v>
      </c>
      <c r="B220" s="548">
        <v>45110</v>
      </c>
      <c r="C220" s="388" t="s">
        <v>44</v>
      </c>
      <c r="D220" s="388" t="s">
        <v>24</v>
      </c>
      <c r="E220" s="388" t="s">
        <v>25</v>
      </c>
      <c r="F220" s="388" t="s">
        <v>33</v>
      </c>
      <c r="G220" s="388">
        <f>30</f>
        <v>30</v>
      </c>
      <c r="H220" s="476">
        <f>172.5</f>
        <v>172.5</v>
      </c>
      <c r="I220" s="476">
        <f>29*2.5</f>
        <v>72.5</v>
      </c>
      <c r="J220" s="476">
        <f>H220+I220</f>
        <v>245</v>
      </c>
      <c r="K220" s="549">
        <f>55</f>
        <v>55</v>
      </c>
      <c r="L220" s="550">
        <f t="shared" si="8"/>
        <v>8.1666666666666661</v>
      </c>
      <c r="M220" s="925">
        <f>SUM(K220:K228)</f>
        <v>215</v>
      </c>
      <c r="N220" s="926">
        <f>P220/M220</f>
        <v>0.67441860465116277</v>
      </c>
      <c r="O220" s="911">
        <f>6</f>
        <v>6</v>
      </c>
      <c r="P220" s="911">
        <f>SUM(G220:G228)</f>
        <v>145</v>
      </c>
      <c r="Q220" s="512" t="s">
        <v>231</v>
      </c>
      <c r="R220" s="976"/>
    </row>
    <row r="221" spans="1:18">
      <c r="A221" s="922"/>
      <c r="B221" s="526">
        <v>45111</v>
      </c>
      <c r="C221" s="371" t="s">
        <v>23</v>
      </c>
      <c r="D221" s="371" t="s">
        <v>24</v>
      </c>
      <c r="E221" s="371" t="s">
        <v>25</v>
      </c>
      <c r="F221" s="371" t="s">
        <v>33</v>
      </c>
      <c r="G221" s="371">
        <f>36</f>
        <v>36</v>
      </c>
      <c r="H221" s="447">
        <f>283.5</f>
        <v>283.5</v>
      </c>
      <c r="I221" s="447">
        <f>72.5</f>
        <v>72.5</v>
      </c>
      <c r="J221" s="447">
        <f>I221+H221</f>
        <v>356</v>
      </c>
      <c r="K221" s="500">
        <v>38</v>
      </c>
      <c r="L221" s="527">
        <f t="shared" si="8"/>
        <v>9.8888888888888893</v>
      </c>
      <c r="M221" s="924"/>
      <c r="N221" s="927"/>
      <c r="O221" s="912"/>
      <c r="P221" s="912"/>
      <c r="Q221" s="512" t="s">
        <v>39</v>
      </c>
      <c r="R221" s="976"/>
    </row>
    <row r="222" spans="1:18">
      <c r="A222" s="922"/>
      <c r="B222" s="526">
        <v>45112</v>
      </c>
      <c r="C222" s="371" t="s">
        <v>29</v>
      </c>
      <c r="D222" s="371" t="s">
        <v>115</v>
      </c>
      <c r="E222" s="371" t="s">
        <v>25</v>
      </c>
      <c r="F222" s="371" t="s">
        <v>26</v>
      </c>
      <c r="G222" s="371">
        <f>13</f>
        <v>13</v>
      </c>
      <c r="H222" s="447">
        <f>83</f>
        <v>83</v>
      </c>
      <c r="I222" s="447">
        <f>25</f>
        <v>25</v>
      </c>
      <c r="J222" s="447">
        <f>108</f>
        <v>108</v>
      </c>
      <c r="K222" s="500">
        <f>33</f>
        <v>33</v>
      </c>
      <c r="L222" s="527">
        <f t="shared" si="8"/>
        <v>8.3076923076923084</v>
      </c>
      <c r="M222" s="924"/>
      <c r="N222" s="927"/>
      <c r="O222" s="912"/>
      <c r="P222" s="912"/>
      <c r="Q222" s="512" t="s">
        <v>39</v>
      </c>
      <c r="R222" s="976"/>
    </row>
    <row r="223" spans="1:18">
      <c r="A223" s="922"/>
      <c r="B223" s="528">
        <v>45113</v>
      </c>
      <c r="C223" s="486" t="s">
        <v>50</v>
      </c>
      <c r="D223" s="486" t="s">
        <v>24</v>
      </c>
      <c r="E223" s="486" t="s">
        <v>131</v>
      </c>
      <c r="F223" s="486"/>
      <c r="G223" s="486"/>
      <c r="H223" s="487"/>
      <c r="I223" s="487"/>
      <c r="J223" s="487"/>
      <c r="K223" s="524"/>
      <c r="L223" s="529"/>
      <c r="M223" s="924"/>
      <c r="N223" s="927"/>
      <c r="O223" s="912"/>
      <c r="P223" s="912"/>
      <c r="Q223" s="512"/>
      <c r="R223" s="976"/>
    </row>
    <row r="224" spans="1:18">
      <c r="A224" s="922"/>
      <c r="B224" s="526">
        <v>45114</v>
      </c>
      <c r="C224" s="371" t="s">
        <v>36</v>
      </c>
      <c r="D224" s="371" t="s">
        <v>24</v>
      </c>
      <c r="E224" s="371" t="s">
        <v>25</v>
      </c>
      <c r="F224" s="371" t="s">
        <v>33</v>
      </c>
      <c r="G224" s="371">
        <f>29</f>
        <v>29</v>
      </c>
      <c r="H224" s="447">
        <f>315-42.5</f>
        <v>272.5</v>
      </c>
      <c r="I224" s="447">
        <f>0</f>
        <v>0</v>
      </c>
      <c r="J224" s="447">
        <f>315</f>
        <v>315</v>
      </c>
      <c r="K224" s="500">
        <f>36</f>
        <v>36</v>
      </c>
      <c r="L224" s="527">
        <f>J224/29</f>
        <v>10.862068965517242</v>
      </c>
      <c r="M224" s="924"/>
      <c r="N224" s="927"/>
      <c r="O224" s="912"/>
      <c r="P224" s="912"/>
      <c r="Q224" s="512" t="s">
        <v>39</v>
      </c>
      <c r="R224" s="976"/>
    </row>
    <row r="225" spans="1:18">
      <c r="A225" s="922"/>
      <c r="B225" s="526">
        <v>45115</v>
      </c>
      <c r="C225" s="371" t="s">
        <v>38</v>
      </c>
      <c r="D225" s="371" t="s">
        <v>24</v>
      </c>
      <c r="E225" s="371" t="s">
        <v>25</v>
      </c>
      <c r="F225" s="371" t="s">
        <v>33</v>
      </c>
      <c r="G225" s="371">
        <f>23</f>
        <v>23</v>
      </c>
      <c r="H225" s="447">
        <f>182.5</f>
        <v>182.5</v>
      </c>
      <c r="I225" s="447">
        <f>21*2.5</f>
        <v>52.5</v>
      </c>
      <c r="J225" s="447">
        <f>I225+H225</f>
        <v>235</v>
      </c>
      <c r="K225" s="500">
        <f>37</f>
        <v>37</v>
      </c>
      <c r="L225" s="527">
        <f>J225/23</f>
        <v>10.217391304347826</v>
      </c>
      <c r="M225" s="924"/>
      <c r="N225" s="927"/>
      <c r="O225" s="912"/>
      <c r="P225" s="912"/>
      <c r="Q225" s="512" t="s">
        <v>39</v>
      </c>
      <c r="R225" s="976"/>
    </row>
    <row r="226" spans="1:18">
      <c r="A226" s="922"/>
      <c r="B226" s="528">
        <v>45115</v>
      </c>
      <c r="C226" s="486" t="s">
        <v>38</v>
      </c>
      <c r="D226" s="486" t="s">
        <v>115</v>
      </c>
      <c r="E226" s="486" t="s">
        <v>131</v>
      </c>
      <c r="F226" s="486"/>
      <c r="G226" s="486"/>
      <c r="H226" s="487"/>
      <c r="I226" s="487"/>
      <c r="J226" s="487"/>
      <c r="K226" s="524"/>
      <c r="L226" s="529"/>
      <c r="M226" s="924"/>
      <c r="N226" s="927"/>
      <c r="O226" s="912"/>
      <c r="P226" s="912"/>
      <c r="Q226" s="512"/>
      <c r="R226" s="976"/>
    </row>
    <row r="227" spans="1:18">
      <c r="A227" s="922"/>
      <c r="B227" s="526">
        <v>45116</v>
      </c>
      <c r="C227" s="371" t="s">
        <v>41</v>
      </c>
      <c r="D227" s="371" t="s">
        <v>24</v>
      </c>
      <c r="E227" s="371" t="s">
        <v>25</v>
      </c>
      <c r="F227" s="371" t="s">
        <v>26</v>
      </c>
      <c r="G227" s="371">
        <f>14</f>
        <v>14</v>
      </c>
      <c r="H227" s="447">
        <v>108.5</v>
      </c>
      <c r="I227" s="447">
        <f>30</f>
        <v>30</v>
      </c>
      <c r="J227" s="447">
        <f>138.5</f>
        <v>138.5</v>
      </c>
      <c r="K227" s="500">
        <f>16</f>
        <v>16</v>
      </c>
      <c r="L227" s="527">
        <f>J227/G227</f>
        <v>9.8928571428571423</v>
      </c>
      <c r="M227" s="924"/>
      <c r="N227" s="927"/>
      <c r="O227" s="912"/>
      <c r="P227" s="912"/>
      <c r="Q227" s="512" t="s">
        <v>39</v>
      </c>
      <c r="R227" s="976"/>
    </row>
    <row r="228" spans="1:18" ht="15" thickBot="1">
      <c r="A228" s="922"/>
      <c r="B228" s="531">
        <v>45116</v>
      </c>
      <c r="C228" s="532" t="s">
        <v>41</v>
      </c>
      <c r="D228" s="532" t="s">
        <v>115</v>
      </c>
      <c r="E228" s="532" t="s">
        <v>92</v>
      </c>
      <c r="F228" s="532"/>
      <c r="G228" s="532"/>
      <c r="H228" s="533"/>
      <c r="I228" s="533"/>
      <c r="J228" s="533"/>
      <c r="K228" s="534"/>
      <c r="L228" s="535"/>
      <c r="M228" s="924"/>
      <c r="N228" s="927"/>
      <c r="O228" s="912"/>
      <c r="P228" s="912"/>
      <c r="Q228" s="513"/>
      <c r="R228" s="976"/>
    </row>
    <row r="229" spans="1:18">
      <c r="A229" s="913" t="s">
        <v>54</v>
      </c>
      <c r="B229" s="555">
        <v>45117</v>
      </c>
      <c r="C229" s="536" t="s">
        <v>44</v>
      </c>
      <c r="D229" s="536" t="s">
        <v>24</v>
      </c>
      <c r="E229" s="536" t="s">
        <v>25</v>
      </c>
      <c r="F229" s="536" t="s">
        <v>26</v>
      </c>
      <c r="G229" s="536">
        <f>23</f>
        <v>23</v>
      </c>
      <c r="H229" s="537">
        <f>232.5</f>
        <v>232.5</v>
      </c>
      <c r="I229" s="537">
        <f>57.5</f>
        <v>57.5</v>
      </c>
      <c r="J229" s="537">
        <f>H229+I229</f>
        <v>290</v>
      </c>
      <c r="K229" s="538">
        <f>33</f>
        <v>33</v>
      </c>
      <c r="L229" s="554">
        <f>J229/G229</f>
        <v>12.608695652173912</v>
      </c>
      <c r="M229" s="983">
        <f>SUM(K229:K237)</f>
        <v>273</v>
      </c>
      <c r="N229" s="926">
        <f>P229/M229</f>
        <v>0.64102564102564108</v>
      </c>
      <c r="O229" s="911">
        <f>7</f>
        <v>7</v>
      </c>
      <c r="P229" s="915">
        <f>SUM(G229:G237)</f>
        <v>175</v>
      </c>
      <c r="Q229" s="578" t="s">
        <v>39</v>
      </c>
      <c r="R229" s="976"/>
    </row>
    <row r="230" spans="1:18">
      <c r="A230" s="914"/>
      <c r="B230" s="434">
        <v>45117</v>
      </c>
      <c r="C230" s="371" t="s">
        <v>44</v>
      </c>
      <c r="D230" s="371" t="s">
        <v>115</v>
      </c>
      <c r="E230" s="371" t="s">
        <v>25</v>
      </c>
      <c r="F230" s="371" t="s">
        <v>33</v>
      </c>
      <c r="G230" s="371">
        <f>26</f>
        <v>26</v>
      </c>
      <c r="H230" s="447">
        <f>270.5</f>
        <v>270.5</v>
      </c>
      <c r="I230" s="447">
        <f>52.5</f>
        <v>52.5</v>
      </c>
      <c r="J230" s="447">
        <f>H230+I230</f>
        <v>323</v>
      </c>
      <c r="K230" s="500">
        <f>40</f>
        <v>40</v>
      </c>
      <c r="L230" s="554">
        <f>J230/G230</f>
        <v>12.423076923076923</v>
      </c>
      <c r="M230" s="984"/>
      <c r="N230" s="927"/>
      <c r="O230" s="912"/>
      <c r="P230" s="916"/>
      <c r="Q230" s="578" t="s">
        <v>39</v>
      </c>
      <c r="R230" s="976"/>
    </row>
    <row r="231" spans="1:18">
      <c r="A231" s="914"/>
      <c r="B231" s="434">
        <v>45118</v>
      </c>
      <c r="C231" s="371" t="s">
        <v>23</v>
      </c>
      <c r="D231" s="371" t="s">
        <v>24</v>
      </c>
      <c r="E231" s="371" t="s">
        <v>25</v>
      </c>
      <c r="F231" s="371" t="s">
        <v>33</v>
      </c>
      <c r="G231" s="371">
        <f>23</f>
        <v>23</v>
      </c>
      <c r="H231" s="447">
        <f>196.5</f>
        <v>196.5</v>
      </c>
      <c r="I231" s="447">
        <f>G231*2.5</f>
        <v>57.5</v>
      </c>
      <c r="J231" s="447">
        <f>H231+I231</f>
        <v>254</v>
      </c>
      <c r="K231" s="500">
        <f>43</f>
        <v>43</v>
      </c>
      <c r="L231" s="554">
        <f>J231/G231</f>
        <v>11.043478260869565</v>
      </c>
      <c r="M231" s="984"/>
      <c r="N231" s="927"/>
      <c r="O231" s="912"/>
      <c r="P231" s="916"/>
      <c r="Q231" s="578" t="s">
        <v>39</v>
      </c>
      <c r="R231" s="976"/>
    </row>
    <row r="232" spans="1:18">
      <c r="A232" s="914"/>
      <c r="B232" s="434">
        <v>45119</v>
      </c>
      <c r="C232" s="371" t="s">
        <v>29</v>
      </c>
      <c r="D232" s="371" t="s">
        <v>24</v>
      </c>
      <c r="E232" s="371" t="s">
        <v>25</v>
      </c>
      <c r="F232" s="371" t="s">
        <v>26</v>
      </c>
      <c r="G232" s="371">
        <f>30</f>
        <v>30</v>
      </c>
      <c r="H232" s="447">
        <f>185</f>
        <v>185</v>
      </c>
      <c r="I232" s="447">
        <f>26*2.5</f>
        <v>65</v>
      </c>
      <c r="J232" s="447">
        <f>I232+H232</f>
        <v>250</v>
      </c>
      <c r="K232" s="500">
        <f>37</f>
        <v>37</v>
      </c>
      <c r="L232" s="554">
        <f>J232/G232</f>
        <v>8.3333333333333339</v>
      </c>
      <c r="M232" s="984"/>
      <c r="N232" s="927"/>
      <c r="O232" s="912"/>
      <c r="P232" s="916"/>
      <c r="Q232" s="578" t="s">
        <v>39</v>
      </c>
      <c r="R232" s="976"/>
    </row>
    <row r="233" spans="1:18">
      <c r="A233" s="914"/>
      <c r="B233" s="434">
        <v>45120</v>
      </c>
      <c r="C233" s="371" t="s">
        <v>31</v>
      </c>
      <c r="D233" s="371" t="s">
        <v>24</v>
      </c>
      <c r="E233" s="371" t="s">
        <v>25</v>
      </c>
      <c r="F233" s="371" t="s">
        <v>33</v>
      </c>
      <c r="G233" s="371">
        <f>27</f>
        <v>27</v>
      </c>
      <c r="H233" s="447">
        <f>151</f>
        <v>151</v>
      </c>
      <c r="I233" s="447">
        <f>60</f>
        <v>60</v>
      </c>
      <c r="J233" s="447">
        <f>H233+I233</f>
        <v>211</v>
      </c>
      <c r="K233" s="500">
        <f>36</f>
        <v>36</v>
      </c>
      <c r="L233" s="554">
        <f>J233/G233</f>
        <v>7.8148148148148149</v>
      </c>
      <c r="M233" s="984"/>
      <c r="N233" s="927"/>
      <c r="O233" s="912"/>
      <c r="P233" s="916"/>
      <c r="Q233" s="578" t="s">
        <v>39</v>
      </c>
      <c r="R233" s="976"/>
    </row>
    <row r="234" spans="1:18">
      <c r="A234" s="914"/>
      <c r="B234" s="489">
        <v>45121</v>
      </c>
      <c r="C234" s="486" t="s">
        <v>36</v>
      </c>
      <c r="D234" s="486" t="s">
        <v>24</v>
      </c>
      <c r="E234" s="486" t="s">
        <v>131</v>
      </c>
      <c r="F234" s="486"/>
      <c r="G234" s="486"/>
      <c r="H234" s="487"/>
      <c r="I234" s="487"/>
      <c r="J234" s="487"/>
      <c r="K234" s="524"/>
      <c r="L234" s="556"/>
      <c r="M234" s="984"/>
      <c r="N234" s="927"/>
      <c r="O234" s="912"/>
      <c r="P234" s="916"/>
      <c r="Q234" s="578"/>
      <c r="R234" s="976"/>
    </row>
    <row r="235" spans="1:18">
      <c r="A235" s="914"/>
      <c r="B235" s="489">
        <v>45121</v>
      </c>
      <c r="C235" s="486" t="s">
        <v>36</v>
      </c>
      <c r="D235" s="486" t="s">
        <v>115</v>
      </c>
      <c r="E235" s="486" t="s">
        <v>92</v>
      </c>
      <c r="F235" s="486"/>
      <c r="G235" s="486"/>
      <c r="H235" s="487"/>
      <c r="I235" s="487"/>
      <c r="J235" s="487"/>
      <c r="K235" s="524"/>
      <c r="L235" s="556"/>
      <c r="M235" s="984"/>
      <c r="N235" s="927"/>
      <c r="O235" s="912"/>
      <c r="P235" s="916"/>
      <c r="Q235" s="578"/>
      <c r="R235" s="976"/>
    </row>
    <row r="236" spans="1:18">
      <c r="A236" s="914"/>
      <c r="B236" s="434">
        <v>45122</v>
      </c>
      <c r="C236" s="371" t="s">
        <v>38</v>
      </c>
      <c r="D236" s="371" t="s">
        <v>24</v>
      </c>
      <c r="E236" s="371" t="s">
        <v>25</v>
      </c>
      <c r="F236" s="371" t="s">
        <v>33</v>
      </c>
      <c r="G236" s="371">
        <f>24</f>
        <v>24</v>
      </c>
      <c r="H236" s="447">
        <f>230</f>
        <v>230</v>
      </c>
      <c r="I236" s="447">
        <f>60</f>
        <v>60</v>
      </c>
      <c r="J236" s="447">
        <f>290</f>
        <v>290</v>
      </c>
      <c r="K236" s="500">
        <f>44</f>
        <v>44</v>
      </c>
      <c r="L236" s="554">
        <f t="shared" ref="L236:L240" si="9">J236/G236</f>
        <v>12.083333333333334</v>
      </c>
      <c r="M236" s="984"/>
      <c r="N236" s="927"/>
      <c r="O236" s="912"/>
      <c r="P236" s="916"/>
      <c r="Q236" s="578" t="s">
        <v>144</v>
      </c>
      <c r="R236" s="976"/>
    </row>
    <row r="237" spans="1:18" ht="15" thickBot="1">
      <c r="A237" s="914"/>
      <c r="B237" s="450">
        <v>45123</v>
      </c>
      <c r="C237" s="439" t="s">
        <v>41</v>
      </c>
      <c r="D237" s="439" t="s">
        <v>24</v>
      </c>
      <c r="E237" s="439" t="s">
        <v>25</v>
      </c>
      <c r="F237" s="439" t="s">
        <v>26</v>
      </c>
      <c r="G237" s="439">
        <f>22</f>
        <v>22</v>
      </c>
      <c r="H237" s="452">
        <f>154</f>
        <v>154</v>
      </c>
      <c r="I237" s="452">
        <f>50</f>
        <v>50</v>
      </c>
      <c r="J237" s="452">
        <f>204</f>
        <v>204</v>
      </c>
      <c r="K237" s="516">
        <f>40</f>
        <v>40</v>
      </c>
      <c r="L237" s="562">
        <f t="shared" si="9"/>
        <v>9.2727272727272734</v>
      </c>
      <c r="M237" s="984"/>
      <c r="N237" s="927"/>
      <c r="O237" s="912"/>
      <c r="P237" s="916"/>
      <c r="Q237" s="579" t="s">
        <v>39</v>
      </c>
      <c r="R237" s="976"/>
    </row>
    <row r="238" spans="1:18">
      <c r="A238" s="921" t="s">
        <v>227</v>
      </c>
      <c r="B238" s="539">
        <v>45124</v>
      </c>
      <c r="C238" s="454" t="s">
        <v>44</v>
      </c>
      <c r="D238" s="454" t="s">
        <v>24</v>
      </c>
      <c r="E238" s="454" t="s">
        <v>25</v>
      </c>
      <c r="F238" s="454" t="s">
        <v>26</v>
      </c>
      <c r="G238" s="454">
        <f>33</f>
        <v>33</v>
      </c>
      <c r="H238" s="455">
        <f>271.5</f>
        <v>271.5</v>
      </c>
      <c r="I238" s="455">
        <f>72.5</f>
        <v>72.5</v>
      </c>
      <c r="J238" s="455">
        <f>H238+I238</f>
        <v>344</v>
      </c>
      <c r="K238" s="540">
        <f>45</f>
        <v>45</v>
      </c>
      <c r="L238" s="560">
        <f t="shared" si="9"/>
        <v>10.424242424242424</v>
      </c>
      <c r="M238" s="919">
        <f>SUM(K238:K244)</f>
        <v>220</v>
      </c>
      <c r="N238" s="917">
        <f>P238/M238</f>
        <v>0.66363636363636369</v>
      </c>
      <c r="O238" s="915">
        <f>6</f>
        <v>6</v>
      </c>
      <c r="P238" s="911">
        <f>SUM(G238:G245)</f>
        <v>146</v>
      </c>
      <c r="Q238" s="512" t="s">
        <v>39</v>
      </c>
      <c r="R238" s="976"/>
    </row>
    <row r="239" spans="1:18">
      <c r="A239" s="922"/>
      <c r="B239" s="526">
        <v>45125</v>
      </c>
      <c r="C239" s="371" t="s">
        <v>23</v>
      </c>
      <c r="D239" s="371" t="s">
        <v>24</v>
      </c>
      <c r="E239" s="371" t="s">
        <v>25</v>
      </c>
      <c r="F239" s="371" t="s">
        <v>33</v>
      </c>
      <c r="G239" s="371">
        <f>29</f>
        <v>29</v>
      </c>
      <c r="H239" s="447">
        <f>234.5</f>
        <v>234.5</v>
      </c>
      <c r="I239" s="447">
        <f>70</f>
        <v>70</v>
      </c>
      <c r="J239" s="447">
        <f>302</f>
        <v>302</v>
      </c>
      <c r="K239" s="500">
        <f>40</f>
        <v>40</v>
      </c>
      <c r="L239" s="561">
        <f t="shared" si="9"/>
        <v>10.413793103448276</v>
      </c>
      <c r="M239" s="920"/>
      <c r="N239" s="918"/>
      <c r="O239" s="916"/>
      <c r="P239" s="912"/>
      <c r="Q239" s="512" t="s">
        <v>39</v>
      </c>
      <c r="R239" s="976"/>
    </row>
    <row r="240" spans="1:18">
      <c r="A240" s="922"/>
      <c r="B240" s="526">
        <v>45126</v>
      </c>
      <c r="C240" s="371" t="s">
        <v>29</v>
      </c>
      <c r="D240" s="371" t="s">
        <v>24</v>
      </c>
      <c r="E240" s="371" t="s">
        <v>25</v>
      </c>
      <c r="F240" s="371" t="s">
        <v>26</v>
      </c>
      <c r="G240" s="371">
        <f>18</f>
        <v>18</v>
      </c>
      <c r="H240" s="447">
        <f>146.5</f>
        <v>146.5</v>
      </c>
      <c r="I240" s="447">
        <f>25</f>
        <v>25</v>
      </c>
      <c r="J240" s="447">
        <f>H240+I240</f>
        <v>171.5</v>
      </c>
      <c r="K240" s="371">
        <f>27</f>
        <v>27</v>
      </c>
      <c r="L240" s="561">
        <f t="shared" si="9"/>
        <v>9.5277777777777786</v>
      </c>
      <c r="M240" s="920"/>
      <c r="N240" s="918"/>
      <c r="O240" s="916"/>
      <c r="P240" s="912"/>
      <c r="Q240" s="512" t="s">
        <v>231</v>
      </c>
      <c r="R240" s="976"/>
    </row>
    <row r="241" spans="1:18">
      <c r="A241" s="922"/>
      <c r="B241" s="543">
        <v>45127</v>
      </c>
      <c r="C241" s="424" t="s">
        <v>31</v>
      </c>
      <c r="D241" s="424"/>
      <c r="E241" s="424"/>
      <c r="F241" s="424"/>
      <c r="G241" s="424"/>
      <c r="H241" s="492"/>
      <c r="I241" s="492"/>
      <c r="J241" s="492"/>
      <c r="K241" s="424"/>
      <c r="L241" s="565"/>
      <c r="M241" s="920"/>
      <c r="N241" s="918"/>
      <c r="O241" s="916"/>
      <c r="P241" s="912"/>
      <c r="Q241" s="512"/>
      <c r="R241" s="976"/>
    </row>
    <row r="242" spans="1:18">
      <c r="A242" s="922"/>
      <c r="B242" s="526">
        <v>45128</v>
      </c>
      <c r="C242" s="371" t="s">
        <v>36</v>
      </c>
      <c r="D242" s="371" t="s">
        <v>24</v>
      </c>
      <c r="E242" s="371" t="s">
        <v>25</v>
      </c>
      <c r="F242" s="371" t="s">
        <v>33</v>
      </c>
      <c r="G242" s="371">
        <f>27</f>
        <v>27</v>
      </c>
      <c r="H242" s="447">
        <f>256.5</f>
        <v>256.5</v>
      </c>
      <c r="I242" s="447">
        <f>27*2.5</f>
        <v>67.5</v>
      </c>
      <c r="J242" s="447">
        <f>324.5</f>
        <v>324.5</v>
      </c>
      <c r="K242" s="371">
        <f>30</f>
        <v>30</v>
      </c>
      <c r="L242" s="527">
        <f>J242/G242</f>
        <v>12.018518518518519</v>
      </c>
      <c r="M242" s="920"/>
      <c r="N242" s="918"/>
      <c r="O242" s="916"/>
      <c r="P242" s="912"/>
      <c r="Q242" s="512" t="s">
        <v>39</v>
      </c>
      <c r="R242" s="976"/>
    </row>
    <row r="243" spans="1:18">
      <c r="A243" s="922"/>
      <c r="B243" s="526">
        <v>45129</v>
      </c>
      <c r="C243" s="371" t="s">
        <v>38</v>
      </c>
      <c r="D243" s="371" t="s">
        <v>24</v>
      </c>
      <c r="E243" s="371" t="s">
        <v>25</v>
      </c>
      <c r="F243" s="371" t="s">
        <v>33</v>
      </c>
      <c r="G243" s="371">
        <f>15</f>
        <v>15</v>
      </c>
      <c r="H243" s="447">
        <f>132.5</f>
        <v>132.5</v>
      </c>
      <c r="I243" s="447">
        <f>27.5</f>
        <v>27.5</v>
      </c>
      <c r="J243" s="447">
        <f>H243+I243</f>
        <v>160</v>
      </c>
      <c r="K243" s="371">
        <f>39</f>
        <v>39</v>
      </c>
      <c r="L243" s="527">
        <f>J243/G243</f>
        <v>10.666666666666666</v>
      </c>
      <c r="M243" s="920"/>
      <c r="N243" s="918"/>
      <c r="O243" s="916"/>
      <c r="P243" s="912"/>
      <c r="Q243" s="512" t="s">
        <v>39</v>
      </c>
      <c r="R243" s="976"/>
    </row>
    <row r="244" spans="1:18">
      <c r="A244" s="922"/>
      <c r="B244" s="526">
        <v>45130</v>
      </c>
      <c r="C244" s="371" t="s">
        <v>41</v>
      </c>
      <c r="D244" s="371" t="s">
        <v>24</v>
      </c>
      <c r="E244" s="371" t="s">
        <v>146</v>
      </c>
      <c r="F244" s="371" t="s">
        <v>26</v>
      </c>
      <c r="G244" s="371">
        <f>24</f>
        <v>24</v>
      </c>
      <c r="H244" s="447">
        <f>350</f>
        <v>350</v>
      </c>
      <c r="I244" s="447">
        <f>50</f>
        <v>50</v>
      </c>
      <c r="J244" s="447">
        <f>400</f>
        <v>400</v>
      </c>
      <c r="K244" s="371">
        <f>39</f>
        <v>39</v>
      </c>
      <c r="L244" s="573">
        <f>400/38</f>
        <v>10.526315789473685</v>
      </c>
      <c r="M244" s="920"/>
      <c r="N244" s="918"/>
      <c r="O244" s="916"/>
      <c r="P244" s="912"/>
      <c r="Q244" s="512" t="s">
        <v>39</v>
      </c>
      <c r="R244" s="976"/>
    </row>
    <row r="245" spans="1:18" ht="15" thickBot="1">
      <c r="A245" s="922"/>
      <c r="B245" s="570">
        <v>45130</v>
      </c>
      <c r="C245" s="571" t="s">
        <v>41</v>
      </c>
      <c r="D245" s="571" t="s">
        <v>115</v>
      </c>
      <c r="E245" s="571" t="s">
        <v>92</v>
      </c>
      <c r="F245" s="571"/>
      <c r="G245" s="571"/>
      <c r="H245" s="572"/>
      <c r="I245" s="572"/>
      <c r="J245" s="572"/>
      <c r="K245" s="571"/>
      <c r="L245" s="574"/>
      <c r="M245" s="920"/>
      <c r="N245" s="918"/>
      <c r="O245" s="916"/>
      <c r="P245" s="912"/>
      <c r="Q245" s="512"/>
      <c r="R245" s="976"/>
    </row>
    <row r="246" spans="1:18">
      <c r="A246" s="921" t="s">
        <v>232</v>
      </c>
      <c r="B246" s="539">
        <v>45131</v>
      </c>
      <c r="C246" s="454" t="s">
        <v>44</v>
      </c>
      <c r="D246" s="454" t="s">
        <v>24</v>
      </c>
      <c r="E246" s="454" t="s">
        <v>25</v>
      </c>
      <c r="F246" s="454" t="s">
        <v>26</v>
      </c>
      <c r="G246" s="454">
        <f>24</f>
        <v>24</v>
      </c>
      <c r="H246" s="455">
        <f>170</f>
        <v>170</v>
      </c>
      <c r="I246" s="455">
        <f>19*2.5</f>
        <v>47.5</v>
      </c>
      <c r="J246" s="455">
        <f>H246+I246</f>
        <v>217.5</v>
      </c>
      <c r="K246" s="454">
        <f>29</f>
        <v>29</v>
      </c>
      <c r="L246" s="573">
        <f t="shared" ref="L246" si="10">400/38</f>
        <v>10.526315789473685</v>
      </c>
      <c r="M246" s="923">
        <f>SUM(K246:K252)</f>
        <v>117</v>
      </c>
      <c r="N246" s="917">
        <f>P246/M246</f>
        <v>0.72649572649572647</v>
      </c>
      <c r="O246" s="923">
        <f>4</f>
        <v>4</v>
      </c>
      <c r="P246" s="911">
        <f>SUM(G246:G252)</f>
        <v>85</v>
      </c>
      <c r="Q246" s="512" t="s">
        <v>39</v>
      </c>
      <c r="R246" s="976"/>
    </row>
    <row r="247" spans="1:18">
      <c r="A247" s="922"/>
      <c r="B247" s="575">
        <v>45132</v>
      </c>
      <c r="C247" s="576" t="s">
        <v>23</v>
      </c>
      <c r="D247" s="576" t="s">
        <v>24</v>
      </c>
      <c r="E247" s="576" t="s">
        <v>92</v>
      </c>
      <c r="F247" s="576"/>
      <c r="G247" s="576"/>
      <c r="H247" s="577"/>
      <c r="I247" s="577"/>
      <c r="J247" s="577"/>
      <c r="K247" s="576"/>
      <c r="L247" s="580"/>
      <c r="M247" s="924"/>
      <c r="N247" s="918"/>
      <c r="O247" s="924"/>
      <c r="P247" s="912"/>
      <c r="Q247" s="512"/>
      <c r="R247" s="976"/>
    </row>
    <row r="248" spans="1:18">
      <c r="A248" s="922"/>
      <c r="B248" s="581">
        <v>45133</v>
      </c>
      <c r="C248" s="469" t="s">
        <v>29</v>
      </c>
      <c r="D248" s="469" t="s">
        <v>24</v>
      </c>
      <c r="E248" s="469" t="s">
        <v>92</v>
      </c>
      <c r="F248" s="469"/>
      <c r="G248" s="469"/>
      <c r="H248" s="470"/>
      <c r="I248" s="470"/>
      <c r="J248" s="470"/>
      <c r="K248" s="469"/>
      <c r="L248" s="582"/>
      <c r="M248" s="924"/>
      <c r="N248" s="918"/>
      <c r="O248" s="924"/>
      <c r="P248" s="912"/>
      <c r="Q248" s="512"/>
      <c r="R248" s="976"/>
    </row>
    <row r="249" spans="1:18">
      <c r="A249" s="922"/>
      <c r="B249" s="526">
        <v>45134</v>
      </c>
      <c r="C249" s="371" t="s">
        <v>31</v>
      </c>
      <c r="D249" s="371" t="s">
        <v>24</v>
      </c>
      <c r="E249" s="371" t="s">
        <v>25</v>
      </c>
      <c r="F249" s="371" t="s">
        <v>33</v>
      </c>
      <c r="G249" s="371">
        <f>25</f>
        <v>25</v>
      </c>
      <c r="H249" s="447">
        <f>145</f>
        <v>145</v>
      </c>
      <c r="I249" s="447">
        <f>55</f>
        <v>55</v>
      </c>
      <c r="J249" s="447">
        <f>200</f>
        <v>200</v>
      </c>
      <c r="K249" s="371">
        <f>36</f>
        <v>36</v>
      </c>
      <c r="L249" s="527">
        <f>J249/G249</f>
        <v>8</v>
      </c>
      <c r="M249" s="924"/>
      <c r="N249" s="918"/>
      <c r="O249" s="924"/>
      <c r="P249" s="912"/>
      <c r="Q249" s="512"/>
      <c r="R249" s="976"/>
    </row>
    <row r="250" spans="1:18">
      <c r="A250" s="922"/>
      <c r="B250" s="581">
        <v>45135</v>
      </c>
      <c r="C250" s="469" t="s">
        <v>36</v>
      </c>
      <c r="D250" s="469" t="s">
        <v>24</v>
      </c>
      <c r="E250" s="469" t="s">
        <v>92</v>
      </c>
      <c r="F250" s="469"/>
      <c r="G250" s="469"/>
      <c r="H250" s="470"/>
      <c r="I250" s="470"/>
      <c r="J250" s="470"/>
      <c r="K250" s="469"/>
      <c r="L250" s="583"/>
      <c r="M250" s="924"/>
      <c r="N250" s="918"/>
      <c r="O250" s="924"/>
      <c r="P250" s="912"/>
      <c r="Q250" s="512"/>
      <c r="R250" s="976"/>
    </row>
    <row r="251" spans="1:18">
      <c r="A251" s="922"/>
      <c r="B251" s="526">
        <v>45136</v>
      </c>
      <c r="C251" s="371" t="s">
        <v>38</v>
      </c>
      <c r="D251" s="371" t="s">
        <v>24</v>
      </c>
      <c r="E251" s="371" t="s">
        <v>25</v>
      </c>
      <c r="F251" s="371" t="s">
        <v>26</v>
      </c>
      <c r="G251" s="371">
        <f>18</f>
        <v>18</v>
      </c>
      <c r="H251" s="447">
        <f>202.5</f>
        <v>202.5</v>
      </c>
      <c r="I251" s="447">
        <f>17*2.5</f>
        <v>42.5</v>
      </c>
      <c r="J251" s="447">
        <f>H251+I251</f>
        <v>245</v>
      </c>
      <c r="K251" s="371">
        <f>26</f>
        <v>26</v>
      </c>
      <c r="L251" s="527">
        <f>J251/G251</f>
        <v>13.611111111111111</v>
      </c>
      <c r="M251" s="924"/>
      <c r="N251" s="918"/>
      <c r="O251" s="924"/>
      <c r="P251" s="912"/>
      <c r="Q251" s="512"/>
      <c r="R251" s="976"/>
    </row>
    <row r="252" spans="1:18" ht="15" thickBot="1">
      <c r="A252" s="922"/>
      <c r="B252" s="595">
        <v>45137</v>
      </c>
      <c r="C252" s="439" t="s">
        <v>41</v>
      </c>
      <c r="D252" s="439" t="s">
        <v>24</v>
      </c>
      <c r="E252" s="439" t="s">
        <v>25</v>
      </c>
      <c r="F252" s="439" t="s">
        <v>26</v>
      </c>
      <c r="G252" s="439">
        <f>18</f>
        <v>18</v>
      </c>
      <c r="H252" s="452">
        <f>149.5</f>
        <v>149.5</v>
      </c>
      <c r="I252" s="452">
        <f>42.5</f>
        <v>42.5</v>
      </c>
      <c r="J252" s="452">
        <f>H252+I252</f>
        <v>192</v>
      </c>
      <c r="K252" s="439">
        <f>26</f>
        <v>26</v>
      </c>
      <c r="L252" s="588">
        <f>J252/G252</f>
        <v>10.666666666666666</v>
      </c>
      <c r="M252" s="924"/>
      <c r="N252" s="918"/>
      <c r="O252" s="924"/>
      <c r="P252" s="912"/>
      <c r="Q252" s="513"/>
      <c r="R252" s="976"/>
    </row>
    <row r="253" spans="1:18" ht="15" thickBot="1">
      <c r="A253" s="900" t="s">
        <v>19</v>
      </c>
      <c r="B253" s="596">
        <v>45138</v>
      </c>
      <c r="C253" s="597" t="s">
        <v>44</v>
      </c>
      <c r="D253" s="597" t="s">
        <v>24</v>
      </c>
      <c r="E253" s="597" t="s">
        <v>25</v>
      </c>
      <c r="F253" s="597" t="s">
        <v>33</v>
      </c>
      <c r="G253" s="597">
        <f>18</f>
        <v>18</v>
      </c>
      <c r="H253" s="598">
        <f>155</f>
        <v>155</v>
      </c>
      <c r="I253" s="598">
        <f>16*2.5</f>
        <v>40</v>
      </c>
      <c r="J253" s="598">
        <f>195</f>
        <v>195</v>
      </c>
      <c r="K253" s="597">
        <f>38</f>
        <v>38</v>
      </c>
      <c r="L253" s="599">
        <f>J253/G253</f>
        <v>10.833333333333334</v>
      </c>
      <c r="M253" s="902">
        <f>SUM(K253:K260)</f>
        <v>269</v>
      </c>
      <c r="N253" s="904">
        <f>P253/M253</f>
        <v>0.71003717472118955</v>
      </c>
      <c r="O253" s="902">
        <f>6</f>
        <v>6</v>
      </c>
      <c r="P253" s="908">
        <f>SUM(G253:G260)</f>
        <v>191</v>
      </c>
      <c r="Q253" s="23" t="s">
        <v>231</v>
      </c>
      <c r="R253" s="977"/>
    </row>
    <row r="254" spans="1:18">
      <c r="A254" s="901"/>
      <c r="B254" s="600" t="s">
        <v>233</v>
      </c>
      <c r="C254" s="402" t="s">
        <v>23</v>
      </c>
      <c r="D254" s="402"/>
      <c r="E254" s="402" t="s">
        <v>131</v>
      </c>
      <c r="F254" s="402"/>
      <c r="G254" s="402"/>
      <c r="H254" s="589"/>
      <c r="I254" s="589"/>
      <c r="J254" s="589"/>
      <c r="K254" s="402"/>
      <c r="L254" s="601"/>
      <c r="M254" s="903"/>
      <c r="N254" s="905"/>
      <c r="O254" s="903"/>
      <c r="P254" s="909"/>
      <c r="Q254" s="23"/>
    </row>
    <row r="255" spans="1:18">
      <c r="A255" s="901"/>
      <c r="B255" s="602" t="s">
        <v>234</v>
      </c>
      <c r="C255" s="36" t="s">
        <v>29</v>
      </c>
      <c r="D255" s="36" t="s">
        <v>24</v>
      </c>
      <c r="E255" s="36" t="s">
        <v>25</v>
      </c>
      <c r="F255" s="36" t="s">
        <v>33</v>
      </c>
      <c r="G255" s="36">
        <f>23</f>
        <v>23</v>
      </c>
      <c r="H255" s="410">
        <f>210</f>
        <v>210</v>
      </c>
      <c r="I255" s="410">
        <f>47.5</f>
        <v>47.5</v>
      </c>
      <c r="J255" s="410">
        <f>H255+I255</f>
        <v>257.5</v>
      </c>
      <c r="K255" s="36">
        <f>30</f>
        <v>30</v>
      </c>
      <c r="L255" s="603">
        <f>J255/G255</f>
        <v>11.195652173913043</v>
      </c>
      <c r="M255" s="903"/>
      <c r="N255" s="905"/>
      <c r="O255" s="903"/>
      <c r="P255" s="909"/>
      <c r="Q255" s="23" t="s">
        <v>150</v>
      </c>
    </row>
    <row r="256" spans="1:18">
      <c r="A256" s="901"/>
      <c r="B256" s="602" t="s">
        <v>235</v>
      </c>
      <c r="C256" s="36" t="s">
        <v>31</v>
      </c>
      <c r="D256" s="36" t="s">
        <v>24</v>
      </c>
      <c r="E256" s="36" t="s">
        <v>25</v>
      </c>
      <c r="F256" s="36" t="s">
        <v>33</v>
      </c>
      <c r="G256" s="36">
        <f>41</f>
        <v>41</v>
      </c>
      <c r="H256" s="410">
        <f>348</f>
        <v>348</v>
      </c>
      <c r="I256" s="410">
        <f>85</f>
        <v>85</v>
      </c>
      <c r="J256" s="410">
        <f>H256+I256</f>
        <v>433</v>
      </c>
      <c r="K256" s="36">
        <f>50</f>
        <v>50</v>
      </c>
      <c r="L256" s="603">
        <f>J256/G256</f>
        <v>10.560975609756097</v>
      </c>
      <c r="M256" s="903"/>
      <c r="N256" s="905"/>
      <c r="O256" s="903"/>
      <c r="P256" s="909"/>
      <c r="Q256" s="23" t="s">
        <v>39</v>
      </c>
    </row>
    <row r="257" spans="1:17">
      <c r="A257" s="901"/>
      <c r="B257" s="602" t="s">
        <v>236</v>
      </c>
      <c r="C257" s="36" t="s">
        <v>36</v>
      </c>
      <c r="D257" s="36" t="s">
        <v>24</v>
      </c>
      <c r="E257" s="36" t="s">
        <v>25</v>
      </c>
      <c r="F257" s="36" t="s">
        <v>33</v>
      </c>
      <c r="G257" s="36">
        <f>33</f>
        <v>33</v>
      </c>
      <c r="H257" s="410">
        <f>175</f>
        <v>175</v>
      </c>
      <c r="I257" s="410">
        <f>75</f>
        <v>75</v>
      </c>
      <c r="J257" s="410">
        <f>H257+I257</f>
        <v>250</v>
      </c>
      <c r="K257" s="36">
        <f>58</f>
        <v>58</v>
      </c>
      <c r="L257" s="603">
        <f>J257/G257</f>
        <v>7.5757575757575761</v>
      </c>
      <c r="M257" s="903"/>
      <c r="N257" s="905"/>
      <c r="O257" s="903"/>
      <c r="P257" s="909"/>
      <c r="Q257" s="23" t="s">
        <v>150</v>
      </c>
    </row>
    <row r="258" spans="1:17">
      <c r="A258" s="901"/>
      <c r="B258" s="602" t="s">
        <v>237</v>
      </c>
      <c r="C258" s="36" t="s">
        <v>38</v>
      </c>
      <c r="D258" s="36" t="s">
        <v>24</v>
      </c>
      <c r="E258" s="36" t="s">
        <v>25</v>
      </c>
      <c r="F258" s="36" t="s">
        <v>26</v>
      </c>
      <c r="G258" s="36">
        <f>33</f>
        <v>33</v>
      </c>
      <c r="H258" s="410">
        <f>264.5</f>
        <v>264.5</v>
      </c>
      <c r="I258" s="410">
        <f>67.5</f>
        <v>67.5</v>
      </c>
      <c r="J258" s="410">
        <f>H258+I258</f>
        <v>332</v>
      </c>
      <c r="K258" s="36">
        <f>33</f>
        <v>33</v>
      </c>
      <c r="L258" s="603">
        <f t="shared" ref="L258:L259" si="11">J258/G258</f>
        <v>10.060606060606061</v>
      </c>
      <c r="M258" s="903"/>
      <c r="N258" s="905"/>
      <c r="O258" s="903"/>
      <c r="P258" s="909"/>
      <c r="Q258" s="23" t="s">
        <v>39</v>
      </c>
    </row>
    <row r="259" spans="1:17" ht="15">
      <c r="A259" s="901"/>
      <c r="B259" s="602" t="s">
        <v>237</v>
      </c>
      <c r="C259" s="36" t="s">
        <v>38</v>
      </c>
      <c r="D259" s="36" t="s">
        <v>115</v>
      </c>
      <c r="E259" s="36" t="s">
        <v>25</v>
      </c>
      <c r="F259" s="36" t="s">
        <v>33</v>
      </c>
      <c r="G259" s="36">
        <f>43</f>
        <v>43</v>
      </c>
      <c r="H259" s="410">
        <f>287.5</f>
        <v>287.5</v>
      </c>
      <c r="I259" s="410">
        <f>107.5</f>
        <v>107.5</v>
      </c>
      <c r="J259" s="410">
        <f>H259+I259</f>
        <v>395</v>
      </c>
      <c r="K259" s="36">
        <f>60</f>
        <v>60</v>
      </c>
      <c r="L259" s="603">
        <f t="shared" si="11"/>
        <v>9.1860465116279073</v>
      </c>
      <c r="M259" s="903"/>
      <c r="N259" s="905"/>
      <c r="O259" s="903"/>
      <c r="P259" s="909"/>
      <c r="Q259" s="23" t="s">
        <v>39</v>
      </c>
    </row>
    <row r="260" spans="1:17" ht="15">
      <c r="A260" s="901"/>
      <c r="B260" s="611" t="s">
        <v>238</v>
      </c>
      <c r="C260" s="191" t="s">
        <v>41</v>
      </c>
      <c r="D260" s="191"/>
      <c r="E260" s="191" t="s">
        <v>92</v>
      </c>
      <c r="F260" s="191"/>
      <c r="G260" s="191"/>
      <c r="H260" s="612"/>
      <c r="I260" s="612"/>
      <c r="J260" s="612"/>
      <c r="K260" s="191"/>
      <c r="L260" s="613"/>
      <c r="M260" s="903"/>
      <c r="N260" s="906"/>
      <c r="O260" s="907"/>
      <c r="P260" s="910"/>
      <c r="Q260" s="23" t="s">
        <v>39</v>
      </c>
    </row>
    <row r="261" spans="1:17" ht="15">
      <c r="A261" s="891" t="s">
        <v>42</v>
      </c>
      <c r="B261" s="656">
        <v>45145</v>
      </c>
      <c r="C261" s="76" t="s">
        <v>44</v>
      </c>
      <c r="D261" s="76" t="s">
        <v>24</v>
      </c>
      <c r="E261" s="76" t="s">
        <v>25</v>
      </c>
      <c r="F261" s="76" t="s">
        <v>33</v>
      </c>
      <c r="G261" s="76">
        <f>15</f>
        <v>15</v>
      </c>
      <c r="H261" s="614">
        <f>127.5</f>
        <v>127.5</v>
      </c>
      <c r="I261" s="614">
        <f>32.5</f>
        <v>32.5</v>
      </c>
      <c r="J261" s="614">
        <f>I261+H261</f>
        <v>160</v>
      </c>
      <c r="K261" s="76">
        <f>33</f>
        <v>33</v>
      </c>
      <c r="L261" s="619">
        <f>J261/G261</f>
        <v>10.666666666666666</v>
      </c>
      <c r="M261" s="896">
        <f>SUM(K261:K268)</f>
        <v>309</v>
      </c>
      <c r="N261" s="898">
        <f>P261/M261</f>
        <v>0.66019417475728159</v>
      </c>
      <c r="O261" s="896">
        <f>7</f>
        <v>7</v>
      </c>
      <c r="P261" s="896">
        <f>SUM(G261:G268)</f>
        <v>204</v>
      </c>
      <c r="Q261" s="23" t="s">
        <v>144</v>
      </c>
    </row>
    <row r="262" spans="1:17" ht="15">
      <c r="A262" s="892"/>
      <c r="B262" s="657">
        <v>45146</v>
      </c>
      <c r="C262" s="24" t="s">
        <v>23</v>
      </c>
      <c r="D262" s="24"/>
      <c r="E262" s="24"/>
      <c r="F262" s="24"/>
      <c r="G262" s="24"/>
      <c r="H262" s="616"/>
      <c r="I262" s="616"/>
      <c r="J262" s="616"/>
      <c r="K262" s="24"/>
      <c r="L262" s="620"/>
      <c r="M262" s="897"/>
      <c r="N262" s="899"/>
      <c r="O262" s="897"/>
      <c r="P262" s="897"/>
      <c r="Q262" s="23"/>
    </row>
    <row r="263" spans="1:17" ht="15">
      <c r="A263" s="892"/>
      <c r="B263" s="656">
        <v>45147</v>
      </c>
      <c r="C263" s="36" t="s">
        <v>29</v>
      </c>
      <c r="D263" s="36" t="s">
        <v>24</v>
      </c>
      <c r="E263" s="36" t="s">
        <v>25</v>
      </c>
      <c r="F263" s="36" t="s">
        <v>26</v>
      </c>
      <c r="G263" s="36">
        <f>32</f>
        <v>32</v>
      </c>
      <c r="H263" s="410">
        <f>270</f>
        <v>270</v>
      </c>
      <c r="I263" s="410">
        <f>32*2.5</f>
        <v>80</v>
      </c>
      <c r="J263" s="410">
        <f>H263+I263</f>
        <v>350</v>
      </c>
      <c r="K263" s="36">
        <f>50</f>
        <v>50</v>
      </c>
      <c r="L263" s="619">
        <f t="shared" ref="L262:L274" si="12">J263/G263</f>
        <v>10.9375</v>
      </c>
      <c r="M263" s="897"/>
      <c r="N263" s="899"/>
      <c r="O263" s="897"/>
      <c r="P263" s="897"/>
      <c r="Q263" s="23" t="s">
        <v>39</v>
      </c>
    </row>
    <row r="264" spans="1:17" ht="15">
      <c r="A264" s="892"/>
      <c r="B264" s="656">
        <v>45148</v>
      </c>
      <c r="C264" s="36" t="s">
        <v>31</v>
      </c>
      <c r="D264" s="36" t="s">
        <v>24</v>
      </c>
      <c r="E264" s="36" t="s">
        <v>25</v>
      </c>
      <c r="F264" s="36" t="s">
        <v>33</v>
      </c>
      <c r="G264" s="36">
        <f>34</f>
        <v>34</v>
      </c>
      <c r="H264" s="622">
        <f>262.5</f>
        <v>262.5</v>
      </c>
      <c r="I264" s="622">
        <f>31*2.5</f>
        <v>77.5</v>
      </c>
      <c r="J264" s="622">
        <f>H264+I264</f>
        <v>340</v>
      </c>
      <c r="K264" s="36">
        <f>48</f>
        <v>48</v>
      </c>
      <c r="L264" s="619">
        <f t="shared" si="12"/>
        <v>10</v>
      </c>
      <c r="M264" s="897"/>
      <c r="N264" s="899"/>
      <c r="O264" s="897">
        <f>8</f>
        <v>8</v>
      </c>
      <c r="P264" s="897">
        <f>SUM(G261:G268)</f>
        <v>204</v>
      </c>
      <c r="Q264" s="23" t="s">
        <v>39</v>
      </c>
    </row>
    <row r="265" spans="1:17" ht="15">
      <c r="A265" s="892"/>
      <c r="B265" s="656">
        <v>45149</v>
      </c>
      <c r="C265" s="36" t="s">
        <v>36</v>
      </c>
      <c r="D265" s="36" t="s">
        <v>24</v>
      </c>
      <c r="E265" s="36" t="s">
        <v>25</v>
      </c>
      <c r="F265" s="36" t="s">
        <v>33</v>
      </c>
      <c r="G265" s="36">
        <f>32</f>
        <v>32</v>
      </c>
      <c r="H265" s="622">
        <f>217</f>
        <v>217</v>
      </c>
      <c r="I265" s="622">
        <f>65</f>
        <v>65</v>
      </c>
      <c r="J265" s="622">
        <f>H265+I265</f>
        <v>282</v>
      </c>
      <c r="K265" s="36">
        <f>34</f>
        <v>34</v>
      </c>
      <c r="L265" s="619">
        <f t="shared" si="12"/>
        <v>8.8125</v>
      </c>
      <c r="M265" s="897"/>
      <c r="N265" s="899"/>
      <c r="O265" s="897"/>
      <c r="P265" s="897"/>
      <c r="Q265" s="23" t="s">
        <v>39</v>
      </c>
    </row>
    <row r="266" spans="1:17" ht="15">
      <c r="A266" s="892"/>
      <c r="B266" s="656">
        <v>45150</v>
      </c>
      <c r="C266" s="36" t="s">
        <v>38</v>
      </c>
      <c r="D266" s="36" t="s">
        <v>24</v>
      </c>
      <c r="E266" s="36" t="s">
        <v>25</v>
      </c>
      <c r="F266" s="36" t="s">
        <v>26</v>
      </c>
      <c r="G266" s="36">
        <f>21</f>
        <v>21</v>
      </c>
      <c r="H266" s="622">
        <f>160</f>
        <v>160</v>
      </c>
      <c r="I266" s="622">
        <f>35</f>
        <v>35</v>
      </c>
      <c r="J266" s="622">
        <f>H266+I266</f>
        <v>195</v>
      </c>
      <c r="K266" s="36">
        <f>24</f>
        <v>24</v>
      </c>
      <c r="L266" s="619">
        <f t="shared" si="12"/>
        <v>9.2857142857142865</v>
      </c>
      <c r="M266" s="897"/>
      <c r="N266" s="899"/>
      <c r="O266" s="897"/>
      <c r="P266" s="897"/>
      <c r="Q266" s="23" t="s">
        <v>39</v>
      </c>
    </row>
    <row r="267" spans="1:17" ht="15">
      <c r="A267" s="892"/>
      <c r="B267" s="656">
        <v>45150</v>
      </c>
      <c r="C267" s="36" t="s">
        <v>38</v>
      </c>
      <c r="D267" s="36" t="s">
        <v>115</v>
      </c>
      <c r="E267" s="36" t="s">
        <v>25</v>
      </c>
      <c r="F267" s="36" t="s">
        <v>33</v>
      </c>
      <c r="G267" s="36">
        <f>35</f>
        <v>35</v>
      </c>
      <c r="H267" s="622">
        <f>164.5</f>
        <v>164.5</v>
      </c>
      <c r="I267" s="622">
        <f>78.5</f>
        <v>78.5</v>
      </c>
      <c r="J267" s="622">
        <f>H267+I267</f>
        <v>243</v>
      </c>
      <c r="K267" s="36">
        <f>60</f>
        <v>60</v>
      </c>
      <c r="L267" s="619">
        <f t="shared" si="12"/>
        <v>6.9428571428571431</v>
      </c>
      <c r="M267" s="897"/>
      <c r="N267" s="899"/>
      <c r="O267" s="897"/>
      <c r="P267" s="897"/>
      <c r="Q267" s="23" t="s">
        <v>39</v>
      </c>
    </row>
    <row r="268" spans="1:17" ht="15">
      <c r="A268" s="892"/>
      <c r="B268" s="754">
        <v>45151</v>
      </c>
      <c r="C268" s="39" t="s">
        <v>41</v>
      </c>
      <c r="D268" s="39" t="s">
        <v>24</v>
      </c>
      <c r="E268" s="39" t="s">
        <v>25</v>
      </c>
      <c r="F268" s="39" t="s">
        <v>26</v>
      </c>
      <c r="G268" s="39">
        <f>35</f>
        <v>35</v>
      </c>
      <c r="H268" s="679">
        <f>337.5</f>
        <v>337.5</v>
      </c>
      <c r="I268" s="679">
        <f>77.5</f>
        <v>77.5</v>
      </c>
      <c r="J268" s="679">
        <f>H268+I268</f>
        <v>415</v>
      </c>
      <c r="K268" s="39">
        <f>60</f>
        <v>60</v>
      </c>
      <c r="L268" s="680">
        <f t="shared" si="12"/>
        <v>11.857142857142858</v>
      </c>
      <c r="M268" s="897"/>
      <c r="N268" s="899"/>
      <c r="O268" s="897"/>
      <c r="P268" s="897"/>
      <c r="Q268" s="132" t="s">
        <v>39</v>
      </c>
    </row>
    <row r="269" spans="1:17" ht="15">
      <c r="A269" s="891" t="s">
        <v>54</v>
      </c>
      <c r="B269" s="749">
        <v>45152</v>
      </c>
      <c r="C269" s="750" t="s">
        <v>44</v>
      </c>
      <c r="D269" s="750" t="s">
        <v>24</v>
      </c>
      <c r="E269" s="750" t="s">
        <v>25</v>
      </c>
      <c r="F269" s="750" t="s">
        <v>33</v>
      </c>
      <c r="G269" s="750">
        <f>32</f>
        <v>32</v>
      </c>
      <c r="H269" s="751">
        <f>259.5</f>
        <v>259.5</v>
      </c>
      <c r="I269" s="751">
        <f>67.5</f>
        <v>67.5</v>
      </c>
      <c r="J269" s="751">
        <f>H269+I269</f>
        <v>327</v>
      </c>
      <c r="K269" s="750">
        <f>50</f>
        <v>50</v>
      </c>
      <c r="L269" s="752">
        <f t="shared" si="12"/>
        <v>10.21875</v>
      </c>
      <c r="M269" s="882">
        <f>SUM(K269:K274)</f>
        <v>278</v>
      </c>
      <c r="N269" s="885">
        <f>P269/M269</f>
        <v>0.59352517985611508</v>
      </c>
      <c r="O269" s="888">
        <f>7</f>
        <v>7</v>
      </c>
      <c r="P269" s="888">
        <f>SUM(G269:G275)</f>
        <v>165</v>
      </c>
      <c r="Q269" s="682" t="s">
        <v>231</v>
      </c>
    </row>
    <row r="270" spans="1:17" ht="14.45" customHeight="1">
      <c r="A270" s="892"/>
      <c r="B270" s="681">
        <v>45153</v>
      </c>
      <c r="C270" s="677" t="s">
        <v>23</v>
      </c>
      <c r="D270" s="677" t="s">
        <v>239</v>
      </c>
      <c r="E270" s="677" t="s">
        <v>25</v>
      </c>
      <c r="F270" s="677" t="s">
        <v>33</v>
      </c>
      <c r="G270" s="677">
        <f>8</f>
        <v>8</v>
      </c>
      <c r="H270" s="678">
        <f>90</f>
        <v>90</v>
      </c>
      <c r="I270" s="678">
        <f>20</f>
        <v>20</v>
      </c>
      <c r="J270" s="678">
        <f>110</f>
        <v>110</v>
      </c>
      <c r="K270" s="677">
        <f>13</f>
        <v>13</v>
      </c>
      <c r="L270" s="753">
        <f t="shared" si="12"/>
        <v>13.75</v>
      </c>
      <c r="M270" s="883"/>
      <c r="N270" s="886"/>
      <c r="O270" s="889"/>
      <c r="P270" s="889"/>
      <c r="Q270" s="682" t="s">
        <v>39</v>
      </c>
    </row>
    <row r="271" spans="1:17" ht="14.45" customHeight="1">
      <c r="A271" s="892"/>
      <c r="B271" s="681">
        <v>45154</v>
      </c>
      <c r="C271" s="677" t="s">
        <v>29</v>
      </c>
      <c r="D271" s="677" t="s">
        <v>24</v>
      </c>
      <c r="E271" s="677" t="s">
        <v>25</v>
      </c>
      <c r="F271" s="677" t="s">
        <v>26</v>
      </c>
      <c r="G271" s="677">
        <f>27</f>
        <v>27</v>
      </c>
      <c r="H271" s="678">
        <f>282</f>
        <v>282</v>
      </c>
      <c r="I271" s="678">
        <f>60</f>
        <v>60</v>
      </c>
      <c r="J271" s="678">
        <f>I271+H271</f>
        <v>342</v>
      </c>
      <c r="K271" s="677">
        <f>55</f>
        <v>55</v>
      </c>
      <c r="L271" s="753">
        <f t="shared" si="12"/>
        <v>12.666666666666666</v>
      </c>
      <c r="M271" s="883"/>
      <c r="N271" s="886"/>
      <c r="O271" s="889"/>
      <c r="P271" s="889"/>
      <c r="Q271" s="682" t="s">
        <v>39</v>
      </c>
    </row>
    <row r="272" spans="1:17" ht="14.45" customHeight="1">
      <c r="A272" s="892"/>
      <c r="B272" s="681">
        <v>45155</v>
      </c>
      <c r="C272" s="677" t="s">
        <v>31</v>
      </c>
      <c r="D272" s="677" t="s">
        <v>24</v>
      </c>
      <c r="E272" s="677" t="s">
        <v>25</v>
      </c>
      <c r="F272" s="677" t="s">
        <v>33</v>
      </c>
      <c r="G272" s="677">
        <f>31</f>
        <v>31</v>
      </c>
      <c r="H272" s="678">
        <f>187.5</f>
        <v>187.5</v>
      </c>
      <c r="I272" s="678">
        <f>77.5</f>
        <v>77.5</v>
      </c>
      <c r="J272" s="678">
        <f>I272+H272</f>
        <v>265</v>
      </c>
      <c r="K272" s="677">
        <f>50</f>
        <v>50</v>
      </c>
      <c r="L272" s="753">
        <f t="shared" si="12"/>
        <v>8.5483870967741939</v>
      </c>
      <c r="M272" s="883"/>
      <c r="N272" s="886"/>
      <c r="O272" s="889"/>
      <c r="P272" s="889"/>
      <c r="Q272" s="682" t="s">
        <v>231</v>
      </c>
    </row>
    <row r="273" spans="1:17" ht="14.45" customHeight="1">
      <c r="A273" s="892"/>
      <c r="B273" s="681">
        <v>45156</v>
      </c>
      <c r="C273" s="677" t="s">
        <v>36</v>
      </c>
      <c r="D273" s="677" t="s">
        <v>24</v>
      </c>
      <c r="E273" s="677" t="s">
        <v>25</v>
      </c>
      <c r="F273" s="677" t="s">
        <v>33</v>
      </c>
      <c r="G273" s="677">
        <f>35</f>
        <v>35</v>
      </c>
      <c r="H273" s="678">
        <f>277</f>
        <v>277</v>
      </c>
      <c r="I273" s="678">
        <f>70</f>
        <v>70</v>
      </c>
      <c r="J273" s="678">
        <f>H273+I273</f>
        <v>347</v>
      </c>
      <c r="K273" s="677">
        <f>50</f>
        <v>50</v>
      </c>
      <c r="L273" s="753">
        <f t="shared" si="12"/>
        <v>9.9142857142857146</v>
      </c>
      <c r="M273" s="883"/>
      <c r="N273" s="886"/>
      <c r="O273" s="889"/>
      <c r="P273" s="889"/>
      <c r="Q273" s="682" t="s">
        <v>150</v>
      </c>
    </row>
    <row r="274" spans="1:17" ht="14.45" customHeight="1">
      <c r="A274" s="892"/>
      <c r="B274" s="681">
        <v>45157</v>
      </c>
      <c r="C274" s="677" t="s">
        <v>38</v>
      </c>
      <c r="D274" s="677" t="s">
        <v>24</v>
      </c>
      <c r="E274" s="677" t="s">
        <v>25</v>
      </c>
      <c r="F274" s="677" t="s">
        <v>26</v>
      </c>
      <c r="G274" s="677">
        <v>32</v>
      </c>
      <c r="H274" s="678">
        <f>225</f>
        <v>225</v>
      </c>
      <c r="I274" s="678">
        <f>80</f>
        <v>80</v>
      </c>
      <c r="J274" s="678">
        <f>H274+I274</f>
        <v>305</v>
      </c>
      <c r="K274" s="677">
        <f>60</f>
        <v>60</v>
      </c>
      <c r="L274" s="753">
        <f t="shared" si="12"/>
        <v>9.53125</v>
      </c>
      <c r="M274" s="883"/>
      <c r="N274" s="886"/>
      <c r="O274" s="889"/>
      <c r="P274" s="889"/>
      <c r="Q274" s="682" t="s">
        <v>39</v>
      </c>
    </row>
    <row r="275" spans="1:17" ht="14.45" customHeight="1">
      <c r="A275" s="892"/>
      <c r="B275" s="762">
        <v>45157</v>
      </c>
      <c r="C275" s="665" t="s">
        <v>38</v>
      </c>
      <c r="D275" s="665"/>
      <c r="E275" s="665"/>
      <c r="F275" s="665" t="s">
        <v>92</v>
      </c>
      <c r="G275" s="665"/>
      <c r="H275" s="666"/>
      <c r="I275" s="666"/>
      <c r="J275" s="666"/>
      <c r="K275" s="665"/>
      <c r="L275" s="763"/>
      <c r="M275" s="883"/>
      <c r="N275" s="886"/>
      <c r="O275" s="889"/>
      <c r="P275" s="889"/>
      <c r="Q275" s="682"/>
    </row>
    <row r="276" spans="1:17" ht="14.45" customHeight="1">
      <c r="A276" s="892"/>
      <c r="B276" s="769">
        <v>45158</v>
      </c>
      <c r="C276" s="770" t="s">
        <v>41</v>
      </c>
      <c r="D276" s="770" t="s">
        <v>24</v>
      </c>
      <c r="E276" s="770" t="s">
        <v>25</v>
      </c>
      <c r="F276" s="770" t="s">
        <v>92</v>
      </c>
      <c r="G276" s="770"/>
      <c r="H276" s="771"/>
      <c r="I276" s="771"/>
      <c r="J276" s="771"/>
      <c r="K276" s="770"/>
      <c r="L276" s="772"/>
      <c r="M276" s="883"/>
      <c r="N276" s="887"/>
      <c r="O276" s="890"/>
      <c r="P276" s="890"/>
      <c r="Q276" s="682"/>
    </row>
    <row r="277" spans="1:17" ht="15">
      <c r="A277" s="891" t="s">
        <v>63</v>
      </c>
      <c r="B277" s="773">
        <v>45159</v>
      </c>
      <c r="C277" s="774" t="s">
        <v>44</v>
      </c>
      <c r="D277" s="775" t="s">
        <v>24</v>
      </c>
      <c r="E277" s="775" t="s">
        <v>25</v>
      </c>
      <c r="F277" s="775" t="s">
        <v>92</v>
      </c>
      <c r="G277" s="775"/>
      <c r="H277" s="776"/>
      <c r="I277" s="776"/>
      <c r="J277" s="776"/>
      <c r="K277" s="775"/>
      <c r="L277" s="777"/>
      <c r="M277" s="888">
        <f>SUM(K279:K284)</f>
        <v>130</v>
      </c>
      <c r="N277" s="885">
        <f>P277/M277</f>
        <v>0.70769230769230773</v>
      </c>
      <c r="O277" s="888">
        <f>5</f>
        <v>5</v>
      </c>
      <c r="P277" s="888">
        <f>SUM(G279:G284)</f>
        <v>92</v>
      </c>
      <c r="Q277" s="682"/>
    </row>
    <row r="278" spans="1:17" ht="15">
      <c r="A278" s="892"/>
      <c r="B278" s="778">
        <v>45160</v>
      </c>
      <c r="C278" s="779" t="s">
        <v>23</v>
      </c>
      <c r="D278" s="665" t="s">
        <v>115</v>
      </c>
      <c r="E278" s="665" t="s">
        <v>25</v>
      </c>
      <c r="F278" s="665" t="s">
        <v>131</v>
      </c>
      <c r="G278" s="665"/>
      <c r="H278" s="666"/>
      <c r="I278" s="666"/>
      <c r="J278" s="666"/>
      <c r="K278" s="665"/>
      <c r="L278" s="780"/>
      <c r="M278" s="889"/>
      <c r="N278" s="886"/>
      <c r="O278" s="889"/>
      <c r="P278" s="889"/>
      <c r="Q278" s="682"/>
    </row>
    <row r="279" spans="1:17" ht="15">
      <c r="A279" s="892"/>
      <c r="B279" s="767">
        <v>45161</v>
      </c>
      <c r="C279" s="755" t="s">
        <v>29</v>
      </c>
      <c r="D279" s="677" t="s">
        <v>24</v>
      </c>
      <c r="E279" s="677" t="s">
        <v>25</v>
      </c>
      <c r="F279" s="677" t="s">
        <v>33</v>
      </c>
      <c r="G279" s="677">
        <f>22</f>
        <v>22</v>
      </c>
      <c r="H279" s="678">
        <f>220</f>
        <v>220</v>
      </c>
      <c r="I279" s="678">
        <f>55</f>
        <v>55</v>
      </c>
      <c r="J279" s="678">
        <f>SUM(I279+H279)</f>
        <v>275</v>
      </c>
      <c r="K279" s="677">
        <f>33</f>
        <v>33</v>
      </c>
      <c r="L279" s="781">
        <f>J279/G279</f>
        <v>12.5</v>
      </c>
      <c r="M279" s="889"/>
      <c r="N279" s="886"/>
      <c r="O279" s="889"/>
      <c r="P279" s="889"/>
      <c r="Q279" s="682" t="s">
        <v>39</v>
      </c>
    </row>
    <row r="280" spans="1:17" ht="15">
      <c r="A280" s="892"/>
      <c r="B280" s="767">
        <v>45162</v>
      </c>
      <c r="C280" s="755" t="s">
        <v>31</v>
      </c>
      <c r="D280" s="677" t="s">
        <v>24</v>
      </c>
      <c r="E280" s="677" t="s">
        <v>25</v>
      </c>
      <c r="F280" s="677" t="s">
        <v>33</v>
      </c>
      <c r="G280" s="677">
        <f>32</f>
        <v>32</v>
      </c>
      <c r="H280" s="678">
        <f>215</f>
        <v>215</v>
      </c>
      <c r="I280" s="678">
        <f>75</f>
        <v>75</v>
      </c>
      <c r="J280" s="678">
        <f>H280+I280</f>
        <v>290</v>
      </c>
      <c r="K280" s="677">
        <f>41</f>
        <v>41</v>
      </c>
      <c r="L280" s="781">
        <f>J280/G280</f>
        <v>9.0625</v>
      </c>
      <c r="M280" s="889"/>
      <c r="N280" s="886"/>
      <c r="O280" s="889"/>
      <c r="P280" s="889"/>
      <c r="Q280" s="766" t="s">
        <v>39</v>
      </c>
    </row>
    <row r="281" spans="1:17" ht="15">
      <c r="A281" s="892"/>
      <c r="B281" s="767">
        <v>45163</v>
      </c>
      <c r="C281" s="755" t="s">
        <v>36</v>
      </c>
      <c r="D281" s="677" t="s">
        <v>24</v>
      </c>
      <c r="E281" s="677" t="s">
        <v>25</v>
      </c>
      <c r="F281" s="677" t="s">
        <v>33</v>
      </c>
      <c r="G281" s="677">
        <f>16</f>
        <v>16</v>
      </c>
      <c r="H281" s="678">
        <f>145-(2.5*12)</f>
        <v>115</v>
      </c>
      <c r="I281" s="678">
        <f>12*2.5</f>
        <v>30</v>
      </c>
      <c r="J281" s="678">
        <f>H281+I281</f>
        <v>145</v>
      </c>
      <c r="K281" s="677">
        <f>30</f>
        <v>30</v>
      </c>
      <c r="L281" s="781">
        <f>J281/G281</f>
        <v>9.0625</v>
      </c>
      <c r="M281" s="889"/>
      <c r="N281" s="886"/>
      <c r="O281" s="889"/>
      <c r="P281" s="889"/>
      <c r="Q281" s="682" t="s">
        <v>150</v>
      </c>
    </row>
    <row r="282" spans="1:17" ht="15">
      <c r="A282" s="892"/>
      <c r="B282" s="767">
        <v>45164</v>
      </c>
      <c r="C282" s="755" t="s">
        <v>38</v>
      </c>
      <c r="D282" s="677" t="s">
        <v>24</v>
      </c>
      <c r="E282" s="677" t="s">
        <v>25</v>
      </c>
      <c r="F282" s="677" t="s">
        <v>26</v>
      </c>
      <c r="G282" s="677">
        <f>14</f>
        <v>14</v>
      </c>
      <c r="H282" s="678">
        <f>95</f>
        <v>95</v>
      </c>
      <c r="I282" s="678">
        <f>14*2.5</f>
        <v>35</v>
      </c>
      <c r="J282" s="678">
        <f>SUM(H282:I282)</f>
        <v>130</v>
      </c>
      <c r="K282" s="677">
        <f>13</f>
        <v>13</v>
      </c>
      <c r="L282" s="781">
        <f>J282/G282</f>
        <v>9.2857142857142865</v>
      </c>
      <c r="M282" s="889"/>
      <c r="N282" s="886"/>
      <c r="O282" s="889"/>
      <c r="P282" s="889"/>
      <c r="Q282" s="682" t="s">
        <v>39</v>
      </c>
    </row>
    <row r="283" spans="1:17" ht="15">
      <c r="A283" s="892"/>
      <c r="B283" s="767">
        <v>45165</v>
      </c>
      <c r="C283" s="755" t="s">
        <v>41</v>
      </c>
      <c r="D283" s="677" t="s">
        <v>24</v>
      </c>
      <c r="E283" s="677" t="s">
        <v>25</v>
      </c>
      <c r="F283" s="677" t="s">
        <v>26</v>
      </c>
      <c r="G283" s="677">
        <f>8</f>
        <v>8</v>
      </c>
      <c r="H283" s="678">
        <f>70</f>
        <v>70</v>
      </c>
      <c r="I283" s="678">
        <f>20</f>
        <v>20</v>
      </c>
      <c r="J283" s="678">
        <f>90</f>
        <v>90</v>
      </c>
      <c r="K283" s="677">
        <f>13</f>
        <v>13</v>
      </c>
      <c r="L283" s="781">
        <f>J283/G283</f>
        <v>11.25</v>
      </c>
      <c r="M283" s="889"/>
      <c r="N283" s="886"/>
      <c r="O283" s="889"/>
      <c r="P283" s="889"/>
      <c r="Q283" s="682" t="s">
        <v>39</v>
      </c>
    </row>
    <row r="284" spans="1:17" ht="15">
      <c r="A284" s="892"/>
      <c r="B284" s="769">
        <v>45165</v>
      </c>
      <c r="C284" s="770" t="s">
        <v>41</v>
      </c>
      <c r="D284" s="770" t="s">
        <v>115</v>
      </c>
      <c r="E284" s="770" t="s">
        <v>25</v>
      </c>
      <c r="F284" s="770" t="s">
        <v>92</v>
      </c>
      <c r="G284" s="770"/>
      <c r="H284" s="771"/>
      <c r="I284" s="771"/>
      <c r="J284" s="771"/>
      <c r="K284" s="770"/>
      <c r="L284" s="783"/>
      <c r="M284" s="889"/>
      <c r="N284" s="887"/>
      <c r="O284" s="890"/>
      <c r="P284" s="890"/>
      <c r="Q284" s="766" t="s">
        <v>39</v>
      </c>
    </row>
    <row r="285" spans="1:17" ht="15">
      <c r="A285" s="891" t="s">
        <v>19</v>
      </c>
      <c r="B285" s="865">
        <v>45166</v>
      </c>
      <c r="C285" s="677" t="s">
        <v>44</v>
      </c>
      <c r="D285" s="677" t="s">
        <v>24</v>
      </c>
      <c r="E285" s="677" t="s">
        <v>25</v>
      </c>
      <c r="F285" s="677" t="s">
        <v>33</v>
      </c>
      <c r="G285" s="677">
        <f>24</f>
        <v>24</v>
      </c>
      <c r="H285" s="678">
        <f>186.5</f>
        <v>186.5</v>
      </c>
      <c r="I285" s="678">
        <f>19*2.5</f>
        <v>47.5</v>
      </c>
      <c r="J285" s="678">
        <f>H285+I285</f>
        <v>234</v>
      </c>
      <c r="K285" s="677">
        <f>30</f>
        <v>30</v>
      </c>
      <c r="L285" s="781">
        <f>J285/G285</f>
        <v>9.75</v>
      </c>
      <c r="M285" s="888">
        <f>SUM(K285:K291)</f>
        <v>138</v>
      </c>
      <c r="N285" s="885">
        <f>P285/M285</f>
        <v>0.75362318840579712</v>
      </c>
      <c r="O285" s="888">
        <f>4</f>
        <v>4</v>
      </c>
      <c r="P285" s="888">
        <f>SUM(G285:G291)</f>
        <v>104</v>
      </c>
      <c r="Q285" s="682" t="s">
        <v>39</v>
      </c>
    </row>
    <row r="286" spans="1:17" ht="14.45" customHeight="1">
      <c r="A286" s="892"/>
      <c r="B286" s="866">
        <v>45167</v>
      </c>
      <c r="C286" s="665" t="s">
        <v>23</v>
      </c>
      <c r="D286" s="665" t="s">
        <v>24</v>
      </c>
      <c r="E286" s="665" t="s">
        <v>25</v>
      </c>
      <c r="F286" s="665" t="s">
        <v>92</v>
      </c>
      <c r="G286" s="665"/>
      <c r="H286" s="666"/>
      <c r="I286" s="666"/>
      <c r="J286" s="666"/>
      <c r="K286" s="665"/>
      <c r="L286" s="780"/>
      <c r="M286" s="889"/>
      <c r="N286" s="886"/>
      <c r="O286" s="889"/>
      <c r="P286" s="889"/>
      <c r="Q286" s="682"/>
    </row>
    <row r="287" spans="1:17" ht="14.45" customHeight="1">
      <c r="A287" s="892"/>
      <c r="B287" s="867">
        <v>45168</v>
      </c>
      <c r="C287" s="682" t="s">
        <v>29</v>
      </c>
      <c r="D287" s="682"/>
      <c r="E287" s="682"/>
      <c r="F287" s="682"/>
      <c r="G287" s="682"/>
      <c r="H287" s="782"/>
      <c r="I287" s="782"/>
      <c r="J287" s="782"/>
      <c r="K287" s="768"/>
      <c r="L287" s="835"/>
      <c r="M287" s="889"/>
      <c r="N287" s="886"/>
      <c r="O287" s="889"/>
      <c r="P287" s="889"/>
      <c r="Q287" s="682"/>
    </row>
    <row r="288" spans="1:17" ht="14.45" customHeight="1">
      <c r="A288" s="892"/>
      <c r="B288" s="868">
        <v>45169</v>
      </c>
      <c r="C288" s="816" t="s">
        <v>31</v>
      </c>
      <c r="D288" s="816" t="s">
        <v>24</v>
      </c>
      <c r="E288" s="816" t="s">
        <v>25</v>
      </c>
      <c r="F288" s="816" t="s">
        <v>26</v>
      </c>
      <c r="G288" s="816">
        <f>28</f>
        <v>28</v>
      </c>
      <c r="H288" s="817">
        <f>247.5</f>
        <v>247.5</v>
      </c>
      <c r="I288" s="817">
        <f>23*2.5</f>
        <v>57.5</v>
      </c>
      <c r="J288" s="817">
        <f>H288+I288</f>
        <v>305</v>
      </c>
      <c r="K288" s="816">
        <f>43</f>
        <v>43</v>
      </c>
      <c r="L288" s="781">
        <f t="shared" ref="L286:L290" si="13">J288/G288</f>
        <v>10.892857142857142</v>
      </c>
      <c r="M288" s="889"/>
      <c r="N288" s="886"/>
      <c r="O288" s="889"/>
      <c r="P288" s="889"/>
      <c r="Q288" s="682" t="s">
        <v>39</v>
      </c>
    </row>
    <row r="289" spans="1:16" ht="14.45" customHeight="1">
      <c r="A289" s="892"/>
      <c r="B289" s="868">
        <v>45170</v>
      </c>
      <c r="C289" s="816" t="s">
        <v>36</v>
      </c>
      <c r="D289" s="816" t="s">
        <v>62</v>
      </c>
      <c r="E289" s="816" t="s">
        <v>25</v>
      </c>
      <c r="F289" s="816" t="s">
        <v>33</v>
      </c>
      <c r="G289" s="816">
        <f>24</f>
        <v>24</v>
      </c>
      <c r="H289" s="817">
        <f>195</f>
        <v>195</v>
      </c>
      <c r="I289" s="817">
        <f>60</f>
        <v>60</v>
      </c>
      <c r="J289" s="817">
        <f>I289+H289</f>
        <v>255</v>
      </c>
      <c r="K289" s="816">
        <f>27</f>
        <v>27</v>
      </c>
      <c r="L289" s="836">
        <f t="shared" si="13"/>
        <v>10.625</v>
      </c>
      <c r="M289" s="889"/>
      <c r="N289" s="886"/>
      <c r="O289" s="889"/>
      <c r="P289" s="889"/>
    </row>
    <row r="290" spans="1:16" ht="14.45" customHeight="1">
      <c r="A290" s="892"/>
      <c r="B290" s="868">
        <v>45171</v>
      </c>
      <c r="C290" s="816" t="s">
        <v>38</v>
      </c>
      <c r="D290" s="816" t="s">
        <v>24</v>
      </c>
      <c r="E290" s="816" t="s">
        <v>25</v>
      </c>
      <c r="F290" s="816" t="s">
        <v>33</v>
      </c>
      <c r="G290" s="816">
        <f>28</f>
        <v>28</v>
      </c>
      <c r="H290" s="817">
        <f>138</f>
        <v>138</v>
      </c>
      <c r="I290" s="817">
        <f>60</f>
        <v>60</v>
      </c>
      <c r="J290" s="817">
        <f>198</f>
        <v>198</v>
      </c>
      <c r="K290" s="816">
        <f>38</f>
        <v>38</v>
      </c>
      <c r="L290" s="836">
        <f t="shared" si="13"/>
        <v>7.0714285714285712</v>
      </c>
      <c r="M290" s="889"/>
      <c r="N290" s="886"/>
      <c r="O290" s="889"/>
      <c r="P290" s="889"/>
    </row>
    <row r="291" spans="1:16" ht="14.45" customHeight="1">
      <c r="A291" s="893" t="s">
        <v>42</v>
      </c>
      <c r="B291" s="869">
        <v>45172</v>
      </c>
      <c r="C291" s="870"/>
      <c r="D291" s="870"/>
      <c r="E291" s="870"/>
      <c r="F291" s="870"/>
      <c r="G291" s="870"/>
      <c r="H291" s="871"/>
      <c r="I291" s="871"/>
      <c r="J291" s="871"/>
      <c r="K291" s="872"/>
      <c r="L291" s="873"/>
      <c r="M291" s="883"/>
      <c r="N291" s="887"/>
      <c r="O291" s="890"/>
      <c r="P291" s="890"/>
    </row>
    <row r="292" spans="1:16" ht="15">
      <c r="A292" s="894"/>
      <c r="B292" s="879">
        <v>45173</v>
      </c>
      <c r="C292" s="677" t="s">
        <v>44</v>
      </c>
      <c r="D292" s="677" t="s">
        <v>24</v>
      </c>
      <c r="E292" s="677" t="s">
        <v>25</v>
      </c>
      <c r="F292" s="677" t="s">
        <v>33</v>
      </c>
      <c r="G292" s="677">
        <f>25</f>
        <v>25</v>
      </c>
      <c r="H292" s="678">
        <f>182.5</f>
        <v>182.5</v>
      </c>
      <c r="I292" s="678">
        <f>62.5</f>
        <v>62.5</v>
      </c>
      <c r="J292" s="678">
        <f>SUM(I292+H292)</f>
        <v>245</v>
      </c>
      <c r="K292" s="677">
        <f>35</f>
        <v>35</v>
      </c>
      <c r="L292" s="880">
        <f>J292/G292</f>
        <v>9.8000000000000007</v>
      </c>
      <c r="M292" s="882">
        <f>SUM(K292:K298)</f>
        <v>95</v>
      </c>
      <c r="N292" s="885">
        <f>P292/M292</f>
        <v>0.71578947368421053</v>
      </c>
      <c r="O292" s="888">
        <f>6</f>
        <v>6</v>
      </c>
      <c r="P292" s="888">
        <f>SUM(G292:G298)</f>
        <v>68</v>
      </c>
    </row>
    <row r="293" spans="1:16" ht="14.45" customHeight="1">
      <c r="A293" s="894"/>
      <c r="B293" s="879">
        <v>45174</v>
      </c>
      <c r="C293" s="677" t="s">
        <v>23</v>
      </c>
      <c r="D293" s="677" t="s">
        <v>24</v>
      </c>
      <c r="E293" s="677" t="s">
        <v>25</v>
      </c>
      <c r="F293" s="677" t="s">
        <v>33</v>
      </c>
      <c r="G293" s="677">
        <f>43</f>
        <v>43</v>
      </c>
      <c r="H293" s="678">
        <f>381</f>
        <v>381</v>
      </c>
      <c r="I293" s="678">
        <f>90</f>
        <v>90</v>
      </c>
      <c r="J293" s="678">
        <f>471</f>
        <v>471</v>
      </c>
      <c r="K293" s="677">
        <f>60</f>
        <v>60</v>
      </c>
      <c r="L293" s="880">
        <f>J293/G293</f>
        <v>10.953488372093023</v>
      </c>
      <c r="M293" s="883"/>
      <c r="N293" s="886"/>
      <c r="O293" s="889"/>
      <c r="P293" s="889"/>
    </row>
    <row r="294" spans="1:16" ht="14.45" customHeight="1">
      <c r="A294" s="894"/>
      <c r="B294" s="879">
        <v>45175</v>
      </c>
      <c r="C294" s="677"/>
      <c r="D294" s="677"/>
      <c r="E294" s="677"/>
      <c r="F294" s="677"/>
      <c r="G294" s="677"/>
      <c r="H294" s="678"/>
      <c r="I294" s="678"/>
      <c r="J294" s="678"/>
      <c r="K294" s="677"/>
      <c r="L294" s="881"/>
      <c r="M294" s="883"/>
      <c r="N294" s="886"/>
      <c r="O294" s="889"/>
      <c r="P294" s="889"/>
    </row>
    <row r="295" spans="1:16" ht="14.45" customHeight="1">
      <c r="A295" s="894"/>
      <c r="B295" s="879">
        <v>45176</v>
      </c>
      <c r="C295" s="677"/>
      <c r="D295" s="677"/>
      <c r="E295" s="677"/>
      <c r="F295" s="677"/>
      <c r="G295" s="677"/>
      <c r="H295" s="678"/>
      <c r="I295" s="678"/>
      <c r="J295" s="678"/>
      <c r="K295" s="677"/>
      <c r="L295" s="881"/>
      <c r="M295" s="883"/>
      <c r="N295" s="886"/>
      <c r="O295" s="889"/>
      <c r="P295" s="889"/>
    </row>
    <row r="296" spans="1:16" ht="14.45" customHeight="1">
      <c r="A296" s="894"/>
      <c r="B296" s="879">
        <v>45177</v>
      </c>
      <c r="C296" s="677"/>
      <c r="D296" s="677"/>
      <c r="E296" s="677"/>
      <c r="F296" s="677"/>
      <c r="G296" s="677"/>
      <c r="H296" s="678"/>
      <c r="I296" s="678"/>
      <c r="J296" s="678"/>
      <c r="K296" s="677"/>
      <c r="L296" s="881"/>
      <c r="M296" s="883"/>
      <c r="N296" s="886"/>
      <c r="O296" s="889"/>
      <c r="P296" s="889"/>
    </row>
    <row r="297" spans="1:16" ht="14.45" customHeight="1">
      <c r="A297" s="894"/>
      <c r="B297" s="879">
        <v>45178</v>
      </c>
      <c r="C297" s="677"/>
      <c r="D297" s="677"/>
      <c r="E297" s="677"/>
      <c r="F297" s="677"/>
      <c r="G297" s="677"/>
      <c r="H297" s="678"/>
      <c r="I297" s="678"/>
      <c r="J297" s="678"/>
      <c r="K297" s="677"/>
      <c r="L297" s="881"/>
      <c r="M297" s="883"/>
      <c r="N297" s="886"/>
      <c r="O297" s="889"/>
      <c r="P297" s="889"/>
    </row>
    <row r="298" spans="1:16" ht="14.45" customHeight="1">
      <c r="A298" s="895"/>
      <c r="B298" s="874">
        <v>45179</v>
      </c>
      <c r="C298" s="875"/>
      <c r="D298" s="875"/>
      <c r="E298" s="875"/>
      <c r="F298" s="875"/>
      <c r="G298" s="875"/>
      <c r="H298" s="876"/>
      <c r="I298" s="876"/>
      <c r="J298" s="876"/>
      <c r="K298" s="877"/>
      <c r="L298" s="878"/>
      <c r="M298" s="884"/>
      <c r="N298" s="887"/>
      <c r="O298" s="890"/>
      <c r="P298" s="890"/>
    </row>
    <row r="299" spans="1:16" ht="15">
      <c r="B299" s="381">
        <v>45180</v>
      </c>
      <c r="H299" s="658"/>
      <c r="I299" s="658"/>
      <c r="J299" s="658"/>
      <c r="L299"/>
    </row>
    <row r="300" spans="1:16">
      <c r="B300" s="381">
        <v>45181</v>
      </c>
      <c r="H300" s="658"/>
      <c r="I300" s="658"/>
      <c r="J300" s="658"/>
      <c r="L300"/>
    </row>
    <row r="301" spans="1:16">
      <c r="B301" s="381">
        <v>45182</v>
      </c>
      <c r="H301" s="658"/>
      <c r="I301" s="658"/>
      <c r="J301" s="658"/>
      <c r="L301"/>
    </row>
    <row r="302" spans="1:16">
      <c r="B302" s="381">
        <v>45183</v>
      </c>
      <c r="H302" s="658"/>
      <c r="I302" s="658"/>
      <c r="J302" s="658"/>
      <c r="L302"/>
    </row>
    <row r="303" spans="1:16">
      <c r="B303" s="381">
        <v>45184</v>
      </c>
      <c r="H303" s="658"/>
      <c r="I303" s="658"/>
      <c r="J303" s="658"/>
      <c r="L303"/>
    </row>
    <row r="304" spans="1:16">
      <c r="B304" s="381">
        <v>45185</v>
      </c>
      <c r="H304" s="658"/>
      <c r="I304" s="658"/>
      <c r="J304" s="658"/>
      <c r="L304"/>
    </row>
    <row r="305" spans="2:12">
      <c r="B305" s="381">
        <v>45186</v>
      </c>
      <c r="H305" s="658"/>
      <c r="I305" s="658"/>
      <c r="J305" s="658"/>
      <c r="L305"/>
    </row>
    <row r="306" spans="2:12">
      <c r="B306" s="381">
        <v>45187</v>
      </c>
      <c r="H306" s="658"/>
      <c r="I306" s="658"/>
      <c r="J306" s="658"/>
      <c r="L306"/>
    </row>
    <row r="307" spans="2:12">
      <c r="B307" s="381">
        <v>45188</v>
      </c>
      <c r="H307" s="658"/>
      <c r="I307" s="658"/>
      <c r="J307" s="658"/>
      <c r="L307"/>
    </row>
    <row r="308" spans="2:12">
      <c r="B308" s="381">
        <v>45189</v>
      </c>
      <c r="H308" s="658"/>
      <c r="I308" s="658"/>
      <c r="J308" s="658"/>
      <c r="L308"/>
    </row>
    <row r="309" spans="2:12">
      <c r="B309" s="381">
        <v>45190</v>
      </c>
      <c r="H309" s="658"/>
      <c r="I309" s="658"/>
      <c r="J309" s="658"/>
      <c r="L309"/>
    </row>
    <row r="310" spans="2:12">
      <c r="B310" s="381">
        <v>45191</v>
      </c>
      <c r="H310" s="658"/>
      <c r="I310" s="658"/>
      <c r="J310" s="658"/>
      <c r="L310"/>
    </row>
    <row r="311" spans="2:12">
      <c r="B311" s="381">
        <v>45192</v>
      </c>
      <c r="H311" s="658"/>
      <c r="I311" s="658"/>
      <c r="J311" s="658"/>
      <c r="L311"/>
    </row>
    <row r="312" spans="2:12">
      <c r="B312" s="381">
        <v>45193</v>
      </c>
      <c r="H312" s="658"/>
      <c r="I312" s="658"/>
      <c r="J312" s="658"/>
      <c r="L312"/>
    </row>
    <row r="313" spans="2:12">
      <c r="B313" s="381">
        <v>45194</v>
      </c>
      <c r="H313" s="658"/>
      <c r="I313" s="658"/>
      <c r="J313" s="658"/>
      <c r="L313"/>
    </row>
    <row r="314" spans="2:12">
      <c r="B314" s="381">
        <v>45195</v>
      </c>
      <c r="H314" s="658"/>
      <c r="I314" s="658"/>
      <c r="J314" s="658"/>
      <c r="L314"/>
    </row>
    <row r="315" spans="2:12">
      <c r="B315" s="381">
        <v>45196</v>
      </c>
      <c r="H315" s="658"/>
      <c r="I315" s="658"/>
      <c r="J315" s="658"/>
      <c r="L315"/>
    </row>
    <row r="316" spans="2:12">
      <c r="B316" s="381">
        <v>45197</v>
      </c>
      <c r="H316" s="658"/>
      <c r="I316" s="658"/>
      <c r="J316" s="658"/>
      <c r="L316"/>
    </row>
    <row r="317" spans="2:12">
      <c r="B317" s="381">
        <v>45198</v>
      </c>
      <c r="L317"/>
    </row>
    <row r="318" spans="2:12">
      <c r="B318" s="381">
        <v>45199</v>
      </c>
      <c r="L318"/>
    </row>
    <row r="319" spans="2:12">
      <c r="B319" s="381">
        <v>45200</v>
      </c>
      <c r="L319"/>
    </row>
    <row r="320" spans="2:12">
      <c r="L320"/>
    </row>
    <row r="321" spans="12:12">
      <c r="L321"/>
    </row>
    <row r="322" spans="12:12">
      <c r="L322"/>
    </row>
    <row r="323" spans="12:12">
      <c r="L323"/>
    </row>
    <row r="324" spans="12:12">
      <c r="L324"/>
    </row>
    <row r="325" spans="12:12">
      <c r="L325"/>
    </row>
    <row r="326" spans="12:12">
      <c r="L326"/>
    </row>
    <row r="327" spans="12:12">
      <c r="L327"/>
    </row>
    <row r="328" spans="12:12">
      <c r="L328"/>
    </row>
    <row r="329" spans="12:12">
      <c r="L329"/>
    </row>
    <row r="330" spans="12:12">
      <c r="L330"/>
    </row>
    <row r="331" spans="12:12">
      <c r="L331"/>
    </row>
    <row r="332" spans="12:12">
      <c r="L332"/>
    </row>
    <row r="333" spans="12:12">
      <c r="L333"/>
    </row>
    <row r="334" spans="12:12">
      <c r="L334"/>
    </row>
    <row r="335" spans="12:12">
      <c r="L335"/>
    </row>
    <row r="336" spans="12:12">
      <c r="L336"/>
    </row>
    <row r="337" spans="12:12">
      <c r="L337"/>
    </row>
    <row r="338" spans="12:12">
      <c r="L338"/>
    </row>
    <row r="339" spans="12:12">
      <c r="L339"/>
    </row>
    <row r="340" spans="12:12">
      <c r="L340"/>
    </row>
    <row r="341" spans="12:12">
      <c r="L341"/>
    </row>
    <row r="342" spans="12:12">
      <c r="L342"/>
    </row>
    <row r="343" spans="12:12">
      <c r="L343"/>
    </row>
    <row r="344" spans="12:12">
      <c r="L344"/>
    </row>
    <row r="345" spans="12:12">
      <c r="L345"/>
    </row>
    <row r="346" spans="12:12">
      <c r="L346"/>
    </row>
    <row r="347" spans="12:12">
      <c r="L347"/>
    </row>
    <row r="348" spans="12:12">
      <c r="L348"/>
    </row>
    <row r="349" spans="12:12">
      <c r="L349"/>
    </row>
    <row r="350" spans="12:12">
      <c r="L350"/>
    </row>
    <row r="351" spans="12:12">
      <c r="L351"/>
    </row>
    <row r="352" spans="12:12">
      <c r="L352"/>
    </row>
    <row r="353" spans="12:12">
      <c r="L353"/>
    </row>
    <row r="354" spans="12:12">
      <c r="L354"/>
    </row>
    <row r="355" spans="12:12">
      <c r="L355"/>
    </row>
    <row r="356" spans="12:12">
      <c r="L356"/>
    </row>
    <row r="357" spans="12:12">
      <c r="L357"/>
    </row>
    <row r="358" spans="12:12">
      <c r="L358"/>
    </row>
    <row r="359" spans="12:12">
      <c r="L359"/>
    </row>
    <row r="360" spans="12:12">
      <c r="L360"/>
    </row>
    <row r="361" spans="12:12">
      <c r="L361"/>
    </row>
    <row r="362" spans="12:12">
      <c r="L362"/>
    </row>
    <row r="363" spans="12:12">
      <c r="L363" s="92"/>
    </row>
  </sheetData>
  <mergeCells count="189">
    <mergeCell ref="R217:R253"/>
    <mergeCell ref="O162:O169"/>
    <mergeCell ref="P162:P169"/>
    <mergeCell ref="N162:N169"/>
    <mergeCell ref="M162:M169"/>
    <mergeCell ref="R146:R180"/>
    <mergeCell ref="R181:R216"/>
    <mergeCell ref="N203:N211"/>
    <mergeCell ref="O203:O211"/>
    <mergeCell ref="P203:P211"/>
    <mergeCell ref="M229:M237"/>
    <mergeCell ref="N229:N237"/>
    <mergeCell ref="M212:M219"/>
    <mergeCell ref="N212:N219"/>
    <mergeCell ref="O212:O219"/>
    <mergeCell ref="P212:P219"/>
    <mergeCell ref="M154:M161"/>
    <mergeCell ref="N154:N161"/>
    <mergeCell ref="P154:P161"/>
    <mergeCell ref="O154:O161"/>
    <mergeCell ref="A195:A202"/>
    <mergeCell ref="M195:M202"/>
    <mergeCell ref="N195:N202"/>
    <mergeCell ref="O195:O202"/>
    <mergeCell ref="P195:P202"/>
    <mergeCell ref="O170:O177"/>
    <mergeCell ref="P170:P177"/>
    <mergeCell ref="N170:N177"/>
    <mergeCell ref="M170:M177"/>
    <mergeCell ref="A186:A194"/>
    <mergeCell ref="M186:M194"/>
    <mergeCell ref="N186:N194"/>
    <mergeCell ref="O186:O194"/>
    <mergeCell ref="P186:P194"/>
    <mergeCell ref="A178:A185"/>
    <mergeCell ref="M178:M185"/>
    <mergeCell ref="N178:N185"/>
    <mergeCell ref="O178:O185"/>
    <mergeCell ref="P178:P185"/>
    <mergeCell ref="A212:A219"/>
    <mergeCell ref="A203:A211"/>
    <mergeCell ref="M203:M211"/>
    <mergeCell ref="A67:A76"/>
    <mergeCell ref="A162:A169"/>
    <mergeCell ref="A170:A177"/>
    <mergeCell ref="A77:A84"/>
    <mergeCell ref="A154:A161"/>
    <mergeCell ref="P85:P95"/>
    <mergeCell ref="O111:O123"/>
    <mergeCell ref="P111:P123"/>
    <mergeCell ref="A103:A110"/>
    <mergeCell ref="A96:A102"/>
    <mergeCell ref="A85:A95"/>
    <mergeCell ref="N85:N95"/>
    <mergeCell ref="M77:M84"/>
    <mergeCell ref="P77:P84"/>
    <mergeCell ref="N77:N84"/>
    <mergeCell ref="O77:O84"/>
    <mergeCell ref="P146:P153"/>
    <mergeCell ref="M138:M145"/>
    <mergeCell ref="N138:N145"/>
    <mergeCell ref="O85:O95"/>
    <mergeCell ref="M85:M95"/>
    <mergeCell ref="O96:O102"/>
    <mergeCell ref="P131:P137"/>
    <mergeCell ref="R3:R34"/>
    <mergeCell ref="R35:R68"/>
    <mergeCell ref="M67:M76"/>
    <mergeCell ref="N67:N76"/>
    <mergeCell ref="O67:O76"/>
    <mergeCell ref="P67:P76"/>
    <mergeCell ref="M49:M57"/>
    <mergeCell ref="N49:N57"/>
    <mergeCell ref="O49:O57"/>
    <mergeCell ref="P49:P57"/>
    <mergeCell ref="P58:P66"/>
    <mergeCell ref="O18:O25"/>
    <mergeCell ref="P18:P25"/>
    <mergeCell ref="O26:O32"/>
    <mergeCell ref="P26:P32"/>
    <mergeCell ref="R69:R107"/>
    <mergeCell ref="M103:M110"/>
    <mergeCell ref="N103:N110"/>
    <mergeCell ref="O103:O110"/>
    <mergeCell ref="P103:P110"/>
    <mergeCell ref="M96:M102"/>
    <mergeCell ref="P96:P102"/>
    <mergeCell ref="R108:R145"/>
    <mergeCell ref="M124:M130"/>
    <mergeCell ref="A4:A10"/>
    <mergeCell ref="P11:P17"/>
    <mergeCell ref="M4:M10"/>
    <mergeCell ref="M11:M17"/>
    <mergeCell ref="N4:N10"/>
    <mergeCell ref="N11:N17"/>
    <mergeCell ref="A11:A17"/>
    <mergeCell ref="A49:A57"/>
    <mergeCell ref="A58:A66"/>
    <mergeCell ref="M58:M66"/>
    <mergeCell ref="N58:N66"/>
    <mergeCell ref="O58:O66"/>
    <mergeCell ref="A26:A32"/>
    <mergeCell ref="A40:A48"/>
    <mergeCell ref="A33:A39"/>
    <mergeCell ref="A18:A25"/>
    <mergeCell ref="N18:N25"/>
    <mergeCell ref="A111:A123"/>
    <mergeCell ref="P124:P130"/>
    <mergeCell ref="P138:P145"/>
    <mergeCell ref="N96:N102"/>
    <mergeCell ref="B2:L2"/>
    <mergeCell ref="M40:M48"/>
    <mergeCell ref="N33:N39"/>
    <mergeCell ref="M33:M39"/>
    <mergeCell ref="O33:O39"/>
    <mergeCell ref="N40:N48"/>
    <mergeCell ref="O40:O48"/>
    <mergeCell ref="P33:P39"/>
    <mergeCell ref="P40:P48"/>
    <mergeCell ref="M18:M25"/>
    <mergeCell ref="M26:M32"/>
    <mergeCell ref="N26:N32"/>
    <mergeCell ref="O4:O10"/>
    <mergeCell ref="O11:O17"/>
    <mergeCell ref="P4:P10"/>
    <mergeCell ref="M2:P2"/>
    <mergeCell ref="A146:A153"/>
    <mergeCell ref="M146:M153"/>
    <mergeCell ref="N146:N153"/>
    <mergeCell ref="O146:O153"/>
    <mergeCell ref="M111:M123"/>
    <mergeCell ref="A131:A137"/>
    <mergeCell ref="M131:M137"/>
    <mergeCell ref="N131:N137"/>
    <mergeCell ref="O131:O137"/>
    <mergeCell ref="N124:N130"/>
    <mergeCell ref="O124:O130"/>
    <mergeCell ref="A124:A130"/>
    <mergeCell ref="N111:N123"/>
    <mergeCell ref="O138:O145"/>
    <mergeCell ref="A138:A145"/>
    <mergeCell ref="A253:A260"/>
    <mergeCell ref="M253:M260"/>
    <mergeCell ref="N253:N260"/>
    <mergeCell ref="O253:O260"/>
    <mergeCell ref="P253:P260"/>
    <mergeCell ref="A261:A268"/>
    <mergeCell ref="O220:O228"/>
    <mergeCell ref="P220:P228"/>
    <mergeCell ref="A229:A237"/>
    <mergeCell ref="P238:P245"/>
    <mergeCell ref="O238:O245"/>
    <mergeCell ref="N238:N245"/>
    <mergeCell ref="M238:M245"/>
    <mergeCell ref="A246:A252"/>
    <mergeCell ref="O246:O252"/>
    <mergeCell ref="M246:M252"/>
    <mergeCell ref="N246:N252"/>
    <mergeCell ref="P246:P252"/>
    <mergeCell ref="A238:A245"/>
    <mergeCell ref="O229:O237"/>
    <mergeCell ref="P229:P237"/>
    <mergeCell ref="A220:A228"/>
    <mergeCell ref="M220:M228"/>
    <mergeCell ref="N220:N228"/>
    <mergeCell ref="M261:M268"/>
    <mergeCell ref="N261:N268"/>
    <mergeCell ref="O261:O268"/>
    <mergeCell ref="P261:P268"/>
    <mergeCell ref="A269:A276"/>
    <mergeCell ref="M269:M276"/>
    <mergeCell ref="N269:N276"/>
    <mergeCell ref="O269:O276"/>
    <mergeCell ref="P269:P276"/>
    <mergeCell ref="M292:M298"/>
    <mergeCell ref="N292:N298"/>
    <mergeCell ref="O292:O298"/>
    <mergeCell ref="P292:P298"/>
    <mergeCell ref="A285:A290"/>
    <mergeCell ref="A291:A298"/>
    <mergeCell ref="A277:A284"/>
    <mergeCell ref="M277:M284"/>
    <mergeCell ref="N277:N284"/>
    <mergeCell ref="O277:O284"/>
    <mergeCell ref="P277:P284"/>
    <mergeCell ref="M285:M291"/>
    <mergeCell ref="N285:N291"/>
    <mergeCell ref="O285:O291"/>
    <mergeCell ref="P285:P291"/>
  </mergeCells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209"/>
  <sheetViews>
    <sheetView topLeftCell="A189" workbookViewId="0">
      <selection activeCell="J202" sqref="J202:J207"/>
    </sheetView>
  </sheetViews>
  <sheetFormatPr defaultColWidth="10.7109375" defaultRowHeight="14.45"/>
  <cols>
    <col min="1" max="1" width="11.42578125" customWidth="1"/>
    <col min="2" max="2" width="10.28515625" customWidth="1"/>
    <col min="3" max="3" width="9" customWidth="1"/>
    <col min="4" max="4" width="12.5703125" customWidth="1"/>
    <col min="5" max="5" width="12.85546875" customWidth="1"/>
    <col min="6" max="6" width="11.28515625" customWidth="1"/>
    <col min="7" max="7" width="13.28515625" customWidth="1"/>
    <col min="8" max="8" width="14.42578125" customWidth="1"/>
    <col min="9" max="9" width="11.85546875" customWidth="1"/>
    <col min="10" max="10" width="9.7109375" customWidth="1"/>
    <col min="11" max="11" width="9.28515625" customWidth="1"/>
    <col min="12" max="12" width="9.7109375" customWidth="1"/>
    <col min="13" max="13" width="15.42578125" customWidth="1"/>
    <col min="14" max="14" width="17.42578125" customWidth="1"/>
    <col min="15" max="15" width="18.5703125" customWidth="1"/>
    <col min="16" max="16" width="19" customWidth="1"/>
  </cols>
  <sheetData>
    <row r="2" spans="1:13" ht="15" thickBot="1"/>
    <row r="3" spans="1:13" ht="15" thickBot="1">
      <c r="A3" s="240" t="s">
        <v>4</v>
      </c>
      <c r="B3" s="1" t="s">
        <v>240</v>
      </c>
      <c r="C3" s="144" t="s">
        <v>17</v>
      </c>
      <c r="D3" s="144" t="s">
        <v>241</v>
      </c>
      <c r="E3" s="241" t="s">
        <v>242</v>
      </c>
      <c r="F3" s="242" t="s">
        <v>243</v>
      </c>
      <c r="G3" s="243" t="s">
        <v>244</v>
      </c>
      <c r="H3" s="1" t="s">
        <v>245</v>
      </c>
      <c r="I3" s="244" t="s">
        <v>246</v>
      </c>
      <c r="J3" s="1" t="s">
        <v>247</v>
      </c>
      <c r="K3" s="1" t="s">
        <v>248</v>
      </c>
      <c r="L3" s="1" t="s">
        <v>249</v>
      </c>
      <c r="M3" s="116"/>
    </row>
    <row r="4" spans="1:13" ht="15.75" customHeight="1" thickBot="1">
      <c r="A4" s="20" t="s">
        <v>23</v>
      </c>
      <c r="B4" s="340">
        <f>Data!J5/Data!G5</f>
        <v>9.7222222222222214</v>
      </c>
      <c r="C4" s="140" t="s">
        <v>39</v>
      </c>
      <c r="D4" s="58">
        <f>Data!G5/Data!K5</f>
        <v>0.9</v>
      </c>
      <c r="E4" s="1170">
        <f>SUM(Data!J5:J10)</f>
        <v>1013</v>
      </c>
      <c r="F4" s="1170">
        <f>SUM(Data!H5:H10)</f>
        <v>805.5</v>
      </c>
      <c r="G4" s="1170">
        <f>SUM(Data!I5:I10)</f>
        <v>207.5</v>
      </c>
      <c r="H4" s="1222">
        <f>SUM(F4/E4)</f>
        <v>0.79516288252714706</v>
      </c>
      <c r="I4" s="1144">
        <f>AVERAGE(B4:B7)</f>
        <v>10.501526251526251</v>
      </c>
      <c r="J4" s="1209">
        <f>Data!P4/Data!O4</f>
        <v>24.5</v>
      </c>
      <c r="K4" s="1144">
        <f>E4/Data!O4</f>
        <v>253.25</v>
      </c>
      <c r="L4" s="1144">
        <f>F4/Data!O4</f>
        <v>201.375</v>
      </c>
      <c r="M4" s="1129" t="s">
        <v>18</v>
      </c>
    </row>
    <row r="5" spans="1:13" ht="15.75" customHeight="1" thickBot="1">
      <c r="A5" s="53" t="s">
        <v>31</v>
      </c>
      <c r="B5" s="340">
        <f>Data!J7/Data!G7</f>
        <v>10.666666666666666</v>
      </c>
      <c r="C5" s="140" t="s">
        <v>34</v>
      </c>
      <c r="D5" s="58">
        <f>Data!G7/Data!K7</f>
        <v>0.65217391304347827</v>
      </c>
      <c r="E5" s="1171"/>
      <c r="F5" s="1171"/>
      <c r="G5" s="1171"/>
      <c r="H5" s="1223"/>
      <c r="I5" s="1191"/>
      <c r="J5" s="1210"/>
      <c r="K5" s="1191"/>
      <c r="L5" s="1191"/>
      <c r="M5" s="1130"/>
    </row>
    <row r="6" spans="1:13" ht="15.75" customHeight="1" thickBot="1">
      <c r="A6" s="20" t="s">
        <v>38</v>
      </c>
      <c r="B6" s="340">
        <f>Data!J9/Data!G9</f>
        <v>9.8076923076923084</v>
      </c>
      <c r="C6" s="140" t="s">
        <v>39</v>
      </c>
      <c r="D6" s="58">
        <f>Data!G9/Data!K9</f>
        <v>0.52</v>
      </c>
      <c r="E6" s="1171"/>
      <c r="F6" s="1171"/>
      <c r="G6" s="1171"/>
      <c r="H6" s="1223"/>
      <c r="I6" s="1191"/>
      <c r="J6" s="1210"/>
      <c r="K6" s="1191"/>
      <c r="L6" s="1191"/>
      <c r="M6" s="1130"/>
    </row>
    <row r="7" spans="1:13" ht="15.75" customHeight="1" thickBot="1">
      <c r="A7" s="59" t="s">
        <v>41</v>
      </c>
      <c r="B7" s="109">
        <f>Data!J10/Data!G10</f>
        <v>11.80952380952381</v>
      </c>
      <c r="C7" s="140" t="s">
        <v>39</v>
      </c>
      <c r="D7" s="58">
        <f>Data!G10/Data!K10</f>
        <v>0.84</v>
      </c>
      <c r="E7" s="1172"/>
      <c r="F7" s="1172"/>
      <c r="G7" s="1172"/>
      <c r="H7" s="1224"/>
      <c r="I7" s="1145"/>
      <c r="J7" s="1211"/>
      <c r="K7" s="1145"/>
      <c r="L7" s="1145"/>
      <c r="M7" s="1130"/>
    </row>
    <row r="8" spans="1:13" ht="15.75" customHeight="1" thickBot="1">
      <c r="A8" s="60" t="s">
        <v>38</v>
      </c>
      <c r="B8" s="110">
        <f>Data!J16/Data!G16</f>
        <v>10.535714285714286</v>
      </c>
      <c r="C8" s="145" t="s">
        <v>39</v>
      </c>
      <c r="D8" s="61">
        <f>Data!G16/Data!K16</f>
        <v>0.73684210526315785</v>
      </c>
      <c r="E8" s="1141">
        <f>Data!J16+Data!J17</f>
        <v>430</v>
      </c>
      <c r="F8" s="1141">
        <f>Data!H16+Data!H17</f>
        <v>317.5</v>
      </c>
      <c r="G8" s="1141">
        <f>Data!I16+Data!I17</f>
        <v>112.5</v>
      </c>
      <c r="H8" s="1185">
        <f>F8/E8</f>
        <v>0.73837209302325579</v>
      </c>
      <c r="I8" s="1141">
        <f>AVERAGE(B8:B9)</f>
        <v>9.2384453781512619</v>
      </c>
      <c r="J8" s="1220">
        <f>Data!P11/Data!O11</f>
        <v>22.5</v>
      </c>
      <c r="K8" s="1141">
        <f>E8/Data!O11</f>
        <v>215</v>
      </c>
      <c r="L8" s="1141">
        <f>F8/Data!O11</f>
        <v>158.75</v>
      </c>
      <c r="M8" s="1130"/>
    </row>
    <row r="9" spans="1:13" ht="15.75" customHeight="1" thickBot="1">
      <c r="A9" s="60" t="s">
        <v>41</v>
      </c>
      <c r="B9" s="339">
        <f>Data!J17/Data!G17</f>
        <v>7.9411764705882355</v>
      </c>
      <c r="C9" s="145" t="s">
        <v>39</v>
      </c>
      <c r="D9" s="61">
        <f>Data!G17/Data!K17</f>
        <v>0.56666666666666665</v>
      </c>
      <c r="E9" s="1143"/>
      <c r="F9" s="1143"/>
      <c r="G9" s="1143"/>
      <c r="H9" s="1186"/>
      <c r="I9" s="1143"/>
      <c r="J9" s="1221"/>
      <c r="K9" s="1143"/>
      <c r="L9" s="1143"/>
      <c r="M9" s="1130"/>
    </row>
    <row r="10" spans="1:13" ht="15.75" customHeight="1" thickBot="1">
      <c r="A10" s="62" t="s">
        <v>23</v>
      </c>
      <c r="B10" s="111">
        <f>Data!J19/Data!G19</f>
        <v>11.25</v>
      </c>
      <c r="C10" s="146" t="s">
        <v>39</v>
      </c>
      <c r="D10" s="56">
        <f>Data!G19/Data!K19</f>
        <v>0.53333333333333333</v>
      </c>
      <c r="E10" s="1187">
        <f>SUM(Data!J19:J25)</f>
        <v>850</v>
      </c>
      <c r="F10" s="1187">
        <f>SUM(Data!H19:H25)</f>
        <v>617</v>
      </c>
      <c r="G10" s="1187">
        <f>SUM(Data!I18:I25)</f>
        <v>232.5</v>
      </c>
      <c r="H10" s="1203">
        <f>F10/E10</f>
        <v>0.72588235294117642</v>
      </c>
      <c r="I10" s="1187">
        <f>AVERAGE(B10:B14)</f>
        <v>8.9727304714989451</v>
      </c>
      <c r="J10" s="1192">
        <f>Data!P18/Data!O18</f>
        <v>25.5</v>
      </c>
      <c r="K10" s="1187">
        <f>E10/Data!O18</f>
        <v>212.5</v>
      </c>
      <c r="L10" s="1187">
        <f>F10/Data!O18</f>
        <v>154.25</v>
      </c>
      <c r="M10" s="1130"/>
    </row>
    <row r="11" spans="1:13" ht="15.75" customHeight="1" thickBot="1">
      <c r="A11" s="66" t="s">
        <v>31</v>
      </c>
      <c r="B11" s="111">
        <f>Data!J21/Data!G21</f>
        <v>10</v>
      </c>
      <c r="C11" s="146" t="s">
        <v>39</v>
      </c>
      <c r="D11" s="56">
        <f>Data!G21/Data!K21</f>
        <v>0.88888888888888884</v>
      </c>
      <c r="E11" s="1188"/>
      <c r="F11" s="1188"/>
      <c r="G11" s="1188"/>
      <c r="H11" s="1204"/>
      <c r="I11" s="1188"/>
      <c r="J11" s="1193"/>
      <c r="K11" s="1188"/>
      <c r="L11" s="1188"/>
      <c r="M11" s="1130"/>
    </row>
    <row r="12" spans="1:13" ht="15.75" customHeight="1" thickBot="1">
      <c r="A12" s="62" t="s">
        <v>38</v>
      </c>
      <c r="B12" s="111">
        <f>Data!J23/Data!G23</f>
        <v>8.0102040816326525</v>
      </c>
      <c r="C12" s="146" t="s">
        <v>39</v>
      </c>
      <c r="D12" s="56">
        <f>Data!G23/Data!K23</f>
        <v>0.98</v>
      </c>
      <c r="E12" s="1188"/>
      <c r="F12" s="1188"/>
      <c r="G12" s="1188"/>
      <c r="H12" s="1204"/>
      <c r="I12" s="1188"/>
      <c r="J12" s="1193"/>
      <c r="K12" s="1188"/>
      <c r="L12" s="1188"/>
      <c r="M12" s="1130"/>
    </row>
    <row r="13" spans="1:13" ht="15.75" customHeight="1" thickBot="1">
      <c r="A13" s="62" t="s">
        <v>41</v>
      </c>
      <c r="B13" s="111">
        <f>Data!J24/Data!G24</f>
        <v>7.1551724137931032</v>
      </c>
      <c r="C13" s="146" t="s">
        <v>39</v>
      </c>
      <c r="D13" s="56">
        <f>Data!G24/Data!K24</f>
        <v>0.76315789473684215</v>
      </c>
      <c r="E13" s="1189"/>
      <c r="F13" s="1189"/>
      <c r="G13" s="1189"/>
      <c r="H13" s="1205"/>
      <c r="I13" s="1189"/>
      <c r="J13" s="1194"/>
      <c r="K13" s="1189"/>
      <c r="L13" s="1189"/>
      <c r="M13" s="1130"/>
    </row>
    <row r="14" spans="1:13" ht="15.75" customHeight="1" thickBot="1">
      <c r="A14" s="52" t="s">
        <v>23</v>
      </c>
      <c r="B14" s="112">
        <f>Data!J27/Data!G27</f>
        <v>8.4482758620689662</v>
      </c>
      <c r="C14" s="147" t="s">
        <v>39</v>
      </c>
      <c r="D14" s="57">
        <f>Data!G27/Data!K27</f>
        <v>0.8529411764705882</v>
      </c>
      <c r="E14" s="1158">
        <f>SUM(Data!J26:J32)</f>
        <v>760.5</v>
      </c>
      <c r="F14" s="1158">
        <f>SUM(Data!H26:H32)</f>
        <v>558</v>
      </c>
      <c r="G14" s="1158">
        <f>SUM(Data!I26:I32)</f>
        <v>202.5</v>
      </c>
      <c r="H14" s="1214">
        <f>F14/E14</f>
        <v>0.73372781065088755</v>
      </c>
      <c r="I14" s="1158">
        <f>AVERAGE(B14:B16)</f>
        <v>8.0441621294615846</v>
      </c>
      <c r="J14" s="1217">
        <f>Data!P26/Data!O26</f>
        <v>28</v>
      </c>
      <c r="K14" s="1158">
        <f>E14/Data!O26</f>
        <v>253.5</v>
      </c>
      <c r="L14" s="1158">
        <f>F14/Data!O26</f>
        <v>186</v>
      </c>
      <c r="M14" s="1130"/>
    </row>
    <row r="15" spans="1:13" ht="15.75" customHeight="1" thickBot="1">
      <c r="A15" s="67" t="s">
        <v>31</v>
      </c>
      <c r="B15" s="112">
        <f>Data!J29/Data!G29</f>
        <v>8.1842105263157894</v>
      </c>
      <c r="C15" s="147" t="s">
        <v>39</v>
      </c>
      <c r="D15" s="57">
        <f>Data!G29/Data!K29</f>
        <v>0.79166666666666663</v>
      </c>
      <c r="E15" s="1212"/>
      <c r="F15" s="1212"/>
      <c r="G15" s="1212"/>
      <c r="H15" s="1215"/>
      <c r="I15" s="1212"/>
      <c r="J15" s="1218"/>
      <c r="K15" s="1212"/>
      <c r="L15" s="1212"/>
      <c r="M15" s="1130"/>
    </row>
    <row r="16" spans="1:13" ht="15.75" customHeight="1" thickBot="1">
      <c r="A16" s="52" t="s">
        <v>38</v>
      </c>
      <c r="B16" s="112">
        <f>Data!J34/Data!G34</f>
        <v>7.5</v>
      </c>
      <c r="C16" s="147" t="s">
        <v>39</v>
      </c>
      <c r="D16" s="57">
        <f>Data!G31/Data!K31</f>
        <v>0.9</v>
      </c>
      <c r="E16" s="1213"/>
      <c r="F16" s="1213"/>
      <c r="G16" s="1213"/>
      <c r="H16" s="1216"/>
      <c r="I16" s="1213"/>
      <c r="J16" s="1219"/>
      <c r="K16" s="1213"/>
      <c r="L16" s="1213"/>
      <c r="M16" s="1131"/>
    </row>
    <row r="17" spans="1:13" ht="15.75" customHeight="1" thickBot="1">
      <c r="A17" s="81" t="s">
        <v>23</v>
      </c>
      <c r="B17" s="109">
        <f>Data!J34/Data!G34</f>
        <v>7.5</v>
      </c>
      <c r="C17" s="140" t="s">
        <v>39</v>
      </c>
      <c r="D17" s="58">
        <f>Data!G34/Data!K34</f>
        <v>0.83333333333333337</v>
      </c>
      <c r="E17" s="1144">
        <f>SUM(Data!J35:J39)+85</f>
        <v>695</v>
      </c>
      <c r="F17" s="1144">
        <f>Data!H34+SUM(Data!H35:H39)</f>
        <v>515</v>
      </c>
      <c r="G17" s="1144">
        <f>Data!I34+SUM(Data!I35:I39)</f>
        <v>170</v>
      </c>
      <c r="H17" s="1173">
        <f>F17/E17</f>
        <v>0.74100719424460426</v>
      </c>
      <c r="I17" s="1144">
        <f>AVERAGE(B17:B20)</f>
        <v>8.9736943164362515</v>
      </c>
      <c r="J17" s="1209">
        <f>Data!P33/Data!O33</f>
        <v>19</v>
      </c>
      <c r="K17" s="1144">
        <f>E17/Data!O33</f>
        <v>173.75</v>
      </c>
      <c r="L17" s="1144">
        <f>F17/Data!O33</f>
        <v>128.75</v>
      </c>
      <c r="M17" s="1129" t="s">
        <v>75</v>
      </c>
    </row>
    <row r="18" spans="1:13" ht="15.75" customHeight="1" thickBot="1">
      <c r="A18" s="20" t="s">
        <v>29</v>
      </c>
      <c r="B18" s="109">
        <f>Data!J35/Data!G35</f>
        <v>8.8095238095238102</v>
      </c>
      <c r="C18" s="140" t="s">
        <v>39</v>
      </c>
      <c r="D18" s="58">
        <f>Data!G35/Data!K35</f>
        <v>1.5</v>
      </c>
      <c r="E18" s="1191"/>
      <c r="F18" s="1191"/>
      <c r="G18" s="1191"/>
      <c r="H18" s="1190"/>
      <c r="I18" s="1191"/>
      <c r="J18" s="1210"/>
      <c r="K18" s="1191"/>
      <c r="L18" s="1191"/>
      <c r="M18" s="1130"/>
    </row>
    <row r="19" spans="1:13" ht="15.75" customHeight="1" thickBot="1">
      <c r="A19" s="63" t="s">
        <v>31</v>
      </c>
      <c r="B19" s="109">
        <f>Data!J36/Data!G36</f>
        <v>10.714285714285714</v>
      </c>
      <c r="C19" s="140" t="s">
        <v>39</v>
      </c>
      <c r="D19" s="58">
        <f>Data!G36/Data!K36</f>
        <v>0.73684210526315785</v>
      </c>
      <c r="E19" s="1191"/>
      <c r="F19" s="1191"/>
      <c r="G19" s="1191"/>
      <c r="H19" s="1190"/>
      <c r="I19" s="1191"/>
      <c r="J19" s="1210"/>
      <c r="K19" s="1191"/>
      <c r="L19" s="1191"/>
      <c r="M19" s="1130"/>
    </row>
    <row r="20" spans="1:13" ht="15.75" customHeight="1" thickBot="1">
      <c r="A20" s="20" t="s">
        <v>90</v>
      </c>
      <c r="B20" s="109">
        <f>Data!J38/Data!G38</f>
        <v>8.870967741935484</v>
      </c>
      <c r="C20" s="140" t="s">
        <v>39</v>
      </c>
      <c r="D20" s="64">
        <f>Data!G38/Data!K38</f>
        <v>0.88571428571428568</v>
      </c>
      <c r="E20" s="1145"/>
      <c r="F20" s="1145"/>
      <c r="G20" s="1145"/>
      <c r="H20" s="1174"/>
      <c r="I20" s="1145"/>
      <c r="J20" s="1211"/>
      <c r="K20" s="1145"/>
      <c r="L20" s="1145"/>
      <c r="M20" s="1130"/>
    </row>
    <row r="21" spans="1:13" ht="15" thickBot="1">
      <c r="A21" s="60" t="s">
        <v>23</v>
      </c>
      <c r="B21" s="110">
        <f>Data!J41/Data!G41</f>
        <v>8.4615384615384617</v>
      </c>
      <c r="C21" s="145" t="s">
        <v>39</v>
      </c>
      <c r="D21" s="73">
        <f>Data!G41/Data!K41</f>
        <v>0.37142857142857144</v>
      </c>
      <c r="E21" s="1141">
        <f>SUM(Data!J40:J48)</f>
        <v>1236</v>
      </c>
      <c r="F21" s="1141">
        <f>SUM(Data!H40:H48)</f>
        <v>913.2</v>
      </c>
      <c r="G21" s="1141">
        <f>SUM(Data!I40:I48)</f>
        <v>322.8</v>
      </c>
      <c r="H21" s="1185">
        <f>F21/E21</f>
        <v>0.73883495145631073</v>
      </c>
      <c r="I21" s="1141">
        <f>AVERAGE(B21:B24)</f>
        <v>9.906293706293706</v>
      </c>
      <c r="J21" s="1220">
        <f>Data!P40/Data!O40</f>
        <v>33.200000000000003</v>
      </c>
      <c r="K21" s="1141">
        <f>E21/Data!O40</f>
        <v>247.2</v>
      </c>
      <c r="L21" s="1141">
        <f>F21/5</f>
        <v>182.64000000000001</v>
      </c>
      <c r="M21" s="1130"/>
    </row>
    <row r="22" spans="1:13" ht="15" thickBot="1">
      <c r="A22" s="60" t="s">
        <v>29</v>
      </c>
      <c r="B22" s="110">
        <f>Data!J42/Data!G42</f>
        <v>11.5</v>
      </c>
      <c r="C22" s="141" t="s">
        <v>34</v>
      </c>
      <c r="D22" s="73">
        <f>Data!G42/Data!K42</f>
        <v>0.9</v>
      </c>
      <c r="E22" s="1142"/>
      <c r="F22" s="1142"/>
      <c r="G22" s="1142"/>
      <c r="H22" s="1228"/>
      <c r="I22" s="1142"/>
      <c r="J22" s="1227"/>
      <c r="K22" s="1142"/>
      <c r="L22" s="1142"/>
      <c r="M22" s="1130"/>
    </row>
    <row r="23" spans="1:13" ht="15" thickBot="1">
      <c r="A23" s="60" t="s">
        <v>36</v>
      </c>
      <c r="B23" s="110">
        <f>Data!J45/Data!G45</f>
        <v>8.8636363636363633</v>
      </c>
      <c r="C23" s="145" t="s">
        <v>39</v>
      </c>
      <c r="D23" s="73">
        <f>Data!G45/Data!K45</f>
        <v>0.97777777777777775</v>
      </c>
      <c r="E23" s="1142"/>
      <c r="F23" s="1142"/>
      <c r="G23" s="1142"/>
      <c r="H23" s="1228"/>
      <c r="I23" s="1142"/>
      <c r="J23" s="1227"/>
      <c r="K23" s="1142"/>
      <c r="L23" s="1142"/>
      <c r="M23" s="1130"/>
    </row>
    <row r="24" spans="1:13" ht="15" thickBot="1">
      <c r="A24" s="60" t="s">
        <v>38</v>
      </c>
      <c r="B24" s="110">
        <f>Data!J46/Data!G46</f>
        <v>10.8</v>
      </c>
      <c r="C24" s="145" t="s">
        <v>39</v>
      </c>
      <c r="D24" s="73">
        <f>Data!G46/Data!K46</f>
        <v>0.8571428571428571</v>
      </c>
      <c r="E24" s="1142"/>
      <c r="F24" s="1142"/>
      <c r="G24" s="1142"/>
      <c r="H24" s="1228"/>
      <c r="I24" s="1142"/>
      <c r="J24" s="1227"/>
      <c r="K24" s="1142"/>
      <c r="L24" s="1142"/>
      <c r="M24" s="1130"/>
    </row>
    <row r="25" spans="1:13" ht="15" thickBot="1">
      <c r="A25" s="60" t="s">
        <v>41</v>
      </c>
      <c r="B25" s="110">
        <f>Data!J48/Data!G48</f>
        <v>10.25</v>
      </c>
      <c r="C25" s="145" t="s">
        <v>39</v>
      </c>
      <c r="D25" s="73">
        <f>Data!G48/Data!K48</f>
        <v>0.64516129032258063</v>
      </c>
      <c r="E25" s="1143"/>
      <c r="F25" s="1143"/>
      <c r="G25" s="1143"/>
      <c r="H25" s="1186"/>
      <c r="I25" s="1143"/>
      <c r="J25" s="1221"/>
      <c r="K25" s="1143"/>
      <c r="L25" s="1143"/>
      <c r="M25" s="1130"/>
    </row>
    <row r="26" spans="1:13" ht="15" thickBot="1">
      <c r="A26" s="62" t="s">
        <v>21</v>
      </c>
      <c r="B26" s="113">
        <f>Data!J49/Data!G49</f>
        <v>8.3139534883720927</v>
      </c>
      <c r="C26" s="146" t="s">
        <v>39</v>
      </c>
      <c r="D26" s="90">
        <f>Data!G49/Data!K49</f>
        <v>0.9555555555555556</v>
      </c>
      <c r="E26" s="1187">
        <f>SUM(Data!J49:J57)</f>
        <v>2038</v>
      </c>
      <c r="F26" s="1187">
        <f>SUM(Data!H49:H57)</f>
        <v>1384</v>
      </c>
      <c r="G26" s="1187">
        <f>SUM(Data!I49:I57)</f>
        <v>651</v>
      </c>
      <c r="H26" s="1203">
        <f>F26/E26</f>
        <v>0.67909715407262017</v>
      </c>
      <c r="I26" s="1206">
        <f>AVERAGE(B26:B34)</f>
        <v>9.6463884845855361</v>
      </c>
      <c r="J26" s="1229">
        <f>Data!P49/Data!O49</f>
        <v>32.571428571428569</v>
      </c>
      <c r="K26" s="1206">
        <f>E26/Data!O49</f>
        <v>291.14285714285717</v>
      </c>
      <c r="L26" s="1187">
        <f>F26/Data!O49</f>
        <v>197.71428571428572</v>
      </c>
      <c r="M26" s="1130"/>
    </row>
    <row r="27" spans="1:13" ht="15" thickBot="1">
      <c r="A27" s="62" t="s">
        <v>21</v>
      </c>
      <c r="B27" s="113">
        <f>Data!J50/Data!G50</f>
        <v>8.2258064516129039</v>
      </c>
      <c r="C27" s="142" t="s">
        <v>34</v>
      </c>
      <c r="D27" s="90">
        <f>Data!G50/Data!K50</f>
        <v>0.86111111111111116</v>
      </c>
      <c r="E27" s="1188"/>
      <c r="F27" s="1188"/>
      <c r="G27" s="1188"/>
      <c r="H27" s="1204"/>
      <c r="I27" s="1207"/>
      <c r="J27" s="1230"/>
      <c r="K27" s="1207"/>
      <c r="L27" s="1188"/>
      <c r="M27" s="1130"/>
    </row>
    <row r="28" spans="1:13" ht="15" thickBot="1">
      <c r="A28" s="62" t="s">
        <v>23</v>
      </c>
      <c r="B28" s="113">
        <f>Data!J51/Data!G51</f>
        <v>9.0444444444444443</v>
      </c>
      <c r="C28" s="146" t="s">
        <v>39</v>
      </c>
      <c r="D28" s="90">
        <f>Data!G51/Data!K51</f>
        <v>0.88235294117647056</v>
      </c>
      <c r="E28" s="1188"/>
      <c r="F28" s="1188"/>
      <c r="G28" s="1188"/>
      <c r="H28" s="1204"/>
      <c r="I28" s="1207"/>
      <c r="J28" s="1230"/>
      <c r="K28" s="1207"/>
      <c r="L28" s="1188"/>
      <c r="M28" s="1130"/>
    </row>
    <row r="29" spans="1:13" ht="15" thickBot="1">
      <c r="A29" s="62" t="s">
        <v>36</v>
      </c>
      <c r="B29" s="113">
        <f>Data!L54</f>
        <v>8.4499999999999993</v>
      </c>
      <c r="C29" s="146" t="s">
        <v>39</v>
      </c>
      <c r="D29" s="114">
        <f>Data!G54/Data!K54</f>
        <v>0.66666666666666663</v>
      </c>
      <c r="E29" s="1188"/>
      <c r="F29" s="1188"/>
      <c r="G29" s="1188"/>
      <c r="H29" s="1204"/>
      <c r="I29" s="1207"/>
      <c r="J29" s="1230"/>
      <c r="K29" s="1207"/>
      <c r="L29" s="1188"/>
      <c r="M29" s="1130"/>
    </row>
    <row r="30" spans="1:13" ht="15" thickBot="1">
      <c r="A30" s="62" t="s">
        <v>36</v>
      </c>
      <c r="B30" s="113">
        <f>Data!L55</f>
        <v>9.7916666666666661</v>
      </c>
      <c r="C30" s="113" t="s">
        <v>34</v>
      </c>
      <c r="D30" s="115">
        <f>Data!G55/Data!K55</f>
        <v>0.6</v>
      </c>
      <c r="E30" s="1188"/>
      <c r="F30" s="1188"/>
      <c r="G30" s="1188"/>
      <c r="H30" s="1204"/>
      <c r="I30" s="1207"/>
      <c r="J30" s="1230"/>
      <c r="K30" s="1207"/>
      <c r="L30" s="1188"/>
      <c r="M30" s="1130"/>
    </row>
    <row r="31" spans="1:13" ht="15" thickBot="1">
      <c r="A31" s="62" t="s">
        <v>38</v>
      </c>
      <c r="B31" s="113">
        <f>Data!L56</f>
        <v>10.208333333333334</v>
      </c>
      <c r="C31" s="113" t="s">
        <v>34</v>
      </c>
      <c r="D31" s="115">
        <f>Data!G56/Data!K56</f>
        <v>0.75</v>
      </c>
      <c r="E31" s="1188"/>
      <c r="F31" s="1188"/>
      <c r="G31" s="1188"/>
      <c r="H31" s="1204"/>
      <c r="I31" s="1207"/>
      <c r="J31" s="1230"/>
      <c r="K31" s="1207"/>
      <c r="L31" s="1188"/>
      <c r="M31" s="1130"/>
    </row>
    <row r="32" spans="1:13" ht="15" thickBot="1">
      <c r="A32" s="62" t="s">
        <v>41</v>
      </c>
      <c r="B32" s="113">
        <f>Data!L57</f>
        <v>9.193548387096774</v>
      </c>
      <c r="C32" s="113" t="s">
        <v>39</v>
      </c>
      <c r="D32" s="115">
        <f>Data!G57/Data!K57</f>
        <v>0.81578947368421051</v>
      </c>
      <c r="E32" s="1189"/>
      <c r="F32" s="1189"/>
      <c r="G32" s="1189"/>
      <c r="H32" s="1205"/>
      <c r="I32" s="1208"/>
      <c r="J32" s="1231"/>
      <c r="K32" s="1208"/>
      <c r="L32" s="1189"/>
      <c r="M32" s="1130"/>
    </row>
    <row r="33" spans="1:13" ht="15" thickBot="1">
      <c r="A33" s="52" t="s">
        <v>23</v>
      </c>
      <c r="B33" s="112">
        <f>Data!L59</f>
        <v>11.923076923076923</v>
      </c>
      <c r="C33" s="143" t="s">
        <v>39</v>
      </c>
      <c r="D33" s="121">
        <f>Data!G59/Data!K59</f>
        <v>0.68421052631578949</v>
      </c>
      <c r="E33" s="1158">
        <f>SUM(Data!J58:J66)</f>
        <v>1500</v>
      </c>
      <c r="F33" s="1158">
        <f>SUM(Data!H58:H66)</f>
        <v>1180</v>
      </c>
      <c r="G33" s="1158">
        <f>SUM(Data!I58:I66)</f>
        <v>349</v>
      </c>
      <c r="H33" s="1214">
        <f>F33/E33</f>
        <v>0.78666666666666663</v>
      </c>
      <c r="I33" s="1263">
        <f>AVERAGE(B33:B39)</f>
        <v>11.276649276649279</v>
      </c>
      <c r="J33" s="1266">
        <f>Data!P58/Data!O58</f>
        <v>19.285714285714285</v>
      </c>
      <c r="K33" s="1263">
        <f>E33/Data!O58</f>
        <v>214.28571428571428</v>
      </c>
      <c r="L33" s="1158">
        <f>F33/Data!O58</f>
        <v>168.57142857142858</v>
      </c>
      <c r="M33" s="1130"/>
    </row>
    <row r="34" spans="1:13" ht="15" thickBot="1">
      <c r="A34" s="52" t="s">
        <v>29</v>
      </c>
      <c r="B34" s="112">
        <f>Data!L60</f>
        <v>11.666666666666666</v>
      </c>
      <c r="C34" s="143" t="s">
        <v>34</v>
      </c>
      <c r="D34" s="121">
        <f>Data!G60/Data!K60</f>
        <v>0.57692307692307687</v>
      </c>
      <c r="E34" s="1212"/>
      <c r="F34" s="1212"/>
      <c r="G34" s="1212"/>
      <c r="H34" s="1215"/>
      <c r="I34" s="1264"/>
      <c r="J34" s="1267"/>
      <c r="K34" s="1264"/>
      <c r="L34" s="1212"/>
      <c r="M34" s="1130"/>
    </row>
    <row r="35" spans="1:13" ht="15" thickBot="1">
      <c r="A35" s="52" t="s">
        <v>31</v>
      </c>
      <c r="B35" s="112">
        <f>Data!L61</f>
        <v>7.4074074074074074</v>
      </c>
      <c r="C35" s="147" t="s">
        <v>39</v>
      </c>
      <c r="D35" s="121">
        <f>Data!G61/Data!K61</f>
        <v>0.81818181818181823</v>
      </c>
      <c r="E35" s="1212"/>
      <c r="F35" s="1212"/>
      <c r="G35" s="1212"/>
      <c r="H35" s="1215"/>
      <c r="I35" s="1264"/>
      <c r="J35" s="1267"/>
      <c r="K35" s="1264"/>
      <c r="L35" s="1212"/>
      <c r="M35" s="1130"/>
    </row>
    <row r="36" spans="1:13" ht="15" thickBot="1">
      <c r="A36" s="52" t="s">
        <v>36</v>
      </c>
      <c r="B36" s="112">
        <f>Data!L62</f>
        <v>16.136363636363637</v>
      </c>
      <c r="C36" s="122" t="s">
        <v>39</v>
      </c>
      <c r="D36" s="121">
        <f>Data!G62/Data!K62</f>
        <v>0.52380952380952384</v>
      </c>
      <c r="E36" s="1212"/>
      <c r="F36" s="1212"/>
      <c r="G36" s="1212"/>
      <c r="H36" s="1215"/>
      <c r="I36" s="1264"/>
      <c r="J36" s="1267"/>
      <c r="K36" s="1264"/>
      <c r="L36" s="1212"/>
      <c r="M36" s="1130"/>
    </row>
    <row r="37" spans="1:13" ht="15" thickBot="1">
      <c r="A37" s="52" t="s">
        <v>38</v>
      </c>
      <c r="B37" s="112">
        <f>Data!L63</f>
        <v>10</v>
      </c>
      <c r="C37" s="122" t="s">
        <v>39</v>
      </c>
      <c r="D37" s="121">
        <f>Data!G63/Data!K63</f>
        <v>0.6</v>
      </c>
      <c r="E37" s="1212"/>
      <c r="F37" s="1212"/>
      <c r="G37" s="1212"/>
      <c r="H37" s="1215"/>
      <c r="I37" s="1264"/>
      <c r="J37" s="1267"/>
      <c r="K37" s="1264"/>
      <c r="L37" s="1212"/>
      <c r="M37" s="1130"/>
    </row>
    <row r="38" spans="1:13" ht="15" thickBot="1">
      <c r="A38" s="52" t="s">
        <v>41</v>
      </c>
      <c r="B38" s="112">
        <f>Data!L65</f>
        <v>11.136363636363637</v>
      </c>
      <c r="C38" s="122" t="s">
        <v>39</v>
      </c>
      <c r="D38" s="121">
        <f>Data!G65/Data!K65</f>
        <v>0.62857142857142856</v>
      </c>
      <c r="E38" s="1212"/>
      <c r="F38" s="1212"/>
      <c r="G38" s="1212"/>
      <c r="H38" s="1215"/>
      <c r="I38" s="1264"/>
      <c r="J38" s="1267"/>
      <c r="K38" s="1264"/>
      <c r="L38" s="1212"/>
      <c r="M38" s="1130"/>
    </row>
    <row r="39" spans="1:13" ht="15" thickBot="1">
      <c r="A39" s="52" t="s">
        <v>41</v>
      </c>
      <c r="B39" s="112">
        <f>Data!L66</f>
        <v>10.666666666666666</v>
      </c>
      <c r="C39" s="52" t="s">
        <v>39</v>
      </c>
      <c r="D39" s="121">
        <f>Data!G66/Data!K66</f>
        <v>0.6</v>
      </c>
      <c r="E39" s="1213"/>
      <c r="F39" s="1213"/>
      <c r="G39" s="1213"/>
      <c r="H39" s="1216"/>
      <c r="I39" s="1265"/>
      <c r="J39" s="1268"/>
      <c r="K39" s="1265"/>
      <c r="L39" s="1213"/>
      <c r="M39" s="1130"/>
    </row>
    <row r="40" spans="1:13" ht="15" thickBot="1">
      <c r="A40" s="72" t="s">
        <v>21</v>
      </c>
      <c r="B40" s="150">
        <f>Data!L67</f>
        <v>10.32258064516129</v>
      </c>
      <c r="C40" s="72" t="s">
        <v>39</v>
      </c>
      <c r="D40" s="151">
        <f>Data!G67/Data!K67</f>
        <v>0.68888888888888888</v>
      </c>
      <c r="E40" s="1152">
        <f>SUM(Data!J67:J76)</f>
        <v>1874.5</v>
      </c>
      <c r="F40" s="1152">
        <f>SUM(Data!H67:H75)</f>
        <v>1419.5</v>
      </c>
      <c r="G40" s="1152">
        <f>SUM(Data!I67:I75)</f>
        <v>454</v>
      </c>
      <c r="H40" s="1261">
        <f>F40/E40</f>
        <v>0.75726860496132298</v>
      </c>
      <c r="I40" s="1152">
        <f>AVERAGE(B40:B46)</f>
        <v>10.03465675489937</v>
      </c>
      <c r="J40" s="1162">
        <f>Data!P67/Data!O67</f>
        <v>29.833333333333332</v>
      </c>
      <c r="K40" s="1165">
        <f>E40/Data!O67</f>
        <v>312.41666666666669</v>
      </c>
      <c r="L40" s="1152">
        <f>F40/Data!O67</f>
        <v>236.58333333333334</v>
      </c>
      <c r="M40" s="1131"/>
    </row>
    <row r="41" spans="1:13" ht="15" thickBot="1">
      <c r="A41" s="72" t="s">
        <v>31</v>
      </c>
      <c r="B41" s="183">
        <f>Data!L71</f>
        <v>9.7142857142857135</v>
      </c>
      <c r="C41" s="72" t="s">
        <v>39</v>
      </c>
      <c r="D41" s="151">
        <f>Data!G71/Data!K71</f>
        <v>0.7</v>
      </c>
      <c r="E41" s="1153"/>
      <c r="F41" s="1153"/>
      <c r="G41" s="1153"/>
      <c r="H41" s="1262"/>
      <c r="I41" s="1153"/>
      <c r="J41" s="1163"/>
      <c r="K41" s="1166"/>
      <c r="L41" s="1153"/>
      <c r="M41" s="1129" t="s">
        <v>122</v>
      </c>
    </row>
    <row r="42" spans="1:13" ht="15" thickBot="1">
      <c r="A42" s="72" t="s">
        <v>36</v>
      </c>
      <c r="B42" s="185">
        <f>Data!L72</f>
        <v>8.2692307692307701</v>
      </c>
      <c r="C42" s="149" t="s">
        <v>250</v>
      </c>
      <c r="D42" s="151">
        <f>Data!G72/Data!K72</f>
        <v>0.8125</v>
      </c>
      <c r="E42" s="1153"/>
      <c r="F42" s="1153"/>
      <c r="G42" s="1153"/>
      <c r="H42" s="1262"/>
      <c r="I42" s="1153"/>
      <c r="J42" s="1163"/>
      <c r="K42" s="1166"/>
      <c r="L42" s="1153"/>
      <c r="M42" s="1130"/>
    </row>
    <row r="43" spans="1:13" ht="15" thickBot="1">
      <c r="A43" s="72" t="s">
        <v>38</v>
      </c>
      <c r="B43" s="185">
        <f>Data!L73</f>
        <v>12.592592592592593</v>
      </c>
      <c r="C43" s="72" t="s">
        <v>39</v>
      </c>
      <c r="D43" s="151">
        <f>Data!G73/Data!K73</f>
        <v>0.67500000000000004</v>
      </c>
      <c r="E43" s="1153"/>
      <c r="F43" s="1153"/>
      <c r="G43" s="1153"/>
      <c r="H43" s="1262"/>
      <c r="I43" s="1153"/>
      <c r="J43" s="1163"/>
      <c r="K43" s="1166"/>
      <c r="L43" s="1153"/>
      <c r="M43" s="1130"/>
    </row>
    <row r="44" spans="1:13" ht="15" thickBot="1">
      <c r="A44" s="72" t="s">
        <v>38</v>
      </c>
      <c r="B44" s="185">
        <f>Data!L74</f>
        <v>10.661764705882353</v>
      </c>
      <c r="C44" s="149" t="s">
        <v>39</v>
      </c>
      <c r="D44" s="151">
        <f>Data!G74/Data!K74</f>
        <v>0.6071428571428571</v>
      </c>
      <c r="E44" s="1153"/>
      <c r="F44" s="1153"/>
      <c r="G44" s="1153"/>
      <c r="H44" s="1262"/>
      <c r="I44" s="1153"/>
      <c r="J44" s="1163"/>
      <c r="K44" s="1166"/>
      <c r="L44" s="1153"/>
      <c r="M44" s="1130"/>
    </row>
    <row r="45" spans="1:13" ht="15" thickBot="1">
      <c r="A45" s="72" t="s">
        <v>41</v>
      </c>
      <c r="B45" s="185">
        <f>Data!L75</f>
        <v>10.824999999999999</v>
      </c>
      <c r="C45" s="72" t="s">
        <v>39</v>
      </c>
      <c r="D45" s="151">
        <f>Data!G75/Data!K75</f>
        <v>0.75471698113207553</v>
      </c>
      <c r="E45" s="1154"/>
      <c r="F45" s="1154"/>
      <c r="G45" s="1154"/>
      <c r="H45" s="1282"/>
      <c r="I45" s="1154"/>
      <c r="J45" s="1164"/>
      <c r="K45" s="1167"/>
      <c r="L45" s="1154"/>
      <c r="M45" s="1130"/>
    </row>
    <row r="46" spans="1:13" ht="15" thickBot="1">
      <c r="A46" s="60" t="s">
        <v>29</v>
      </c>
      <c r="B46" s="193">
        <f>Data!L79</f>
        <v>7.8571428571428568</v>
      </c>
      <c r="C46" s="60" t="s">
        <v>39</v>
      </c>
      <c r="D46" s="73">
        <f>Data!G79/Data!K79</f>
        <v>0.80769230769230771</v>
      </c>
      <c r="E46" s="1141">
        <f>SUM(Data!J77:J84)</f>
        <v>1046</v>
      </c>
      <c r="F46" s="1141">
        <f>SUM(Data!H77:H84)</f>
        <v>756</v>
      </c>
      <c r="G46" s="1141">
        <f>SUM(Data!I77:I84)</f>
        <v>290</v>
      </c>
      <c r="H46" s="1185">
        <f>F46/E46</f>
        <v>0.72275334608030595</v>
      </c>
      <c r="I46" s="1141">
        <f>AVERAGE(B46:B50)</f>
        <v>10.521847926267281</v>
      </c>
      <c r="J46" s="1159">
        <f>Data!P77/Data!O77</f>
        <v>21</v>
      </c>
      <c r="K46" s="1141">
        <f>E46/Data!O77</f>
        <v>209.2</v>
      </c>
      <c r="L46" s="1141">
        <f>F46/5</f>
        <v>151.19999999999999</v>
      </c>
      <c r="M46" s="1130"/>
    </row>
    <row r="47" spans="1:13" ht="15" thickBot="1">
      <c r="A47" s="60" t="s">
        <v>36</v>
      </c>
      <c r="B47" s="194">
        <f>Data!L81</f>
        <v>8.387096774193548</v>
      </c>
      <c r="C47" s="60" t="s">
        <v>34</v>
      </c>
      <c r="D47" s="73">
        <f>Data!G81/Data!K81</f>
        <v>1.1923076923076923</v>
      </c>
      <c r="E47" s="1142"/>
      <c r="F47" s="1142"/>
      <c r="G47" s="1142"/>
      <c r="H47" s="1228"/>
      <c r="I47" s="1142"/>
      <c r="J47" s="1160"/>
      <c r="K47" s="1142"/>
      <c r="L47" s="1142"/>
      <c r="M47" s="1130"/>
    </row>
    <row r="48" spans="1:13" ht="15" thickBot="1">
      <c r="A48" s="60" t="s">
        <v>38</v>
      </c>
      <c r="B48" s="195">
        <f>Data!L82</f>
        <v>9</v>
      </c>
      <c r="C48" s="60" t="s">
        <v>39</v>
      </c>
      <c r="D48" s="198">
        <f>Data!G82/Data!K82</f>
        <v>0.5</v>
      </c>
      <c r="E48" s="1142"/>
      <c r="F48" s="1142"/>
      <c r="G48" s="1142"/>
      <c r="H48" s="1228"/>
      <c r="I48" s="1142"/>
      <c r="J48" s="1160"/>
      <c r="K48" s="1142"/>
      <c r="L48" s="1142"/>
      <c r="M48" s="1130"/>
    </row>
    <row r="49" spans="1:13" ht="15" thickBot="1">
      <c r="A49" s="60" t="s">
        <v>38</v>
      </c>
      <c r="B49" s="193">
        <f>Data!L83</f>
        <v>13.125</v>
      </c>
      <c r="C49" s="189" t="s">
        <v>34</v>
      </c>
      <c r="D49" s="199">
        <f>Data!G83/Data!K83</f>
        <v>0.55813953488372092</v>
      </c>
      <c r="E49" s="1142"/>
      <c r="F49" s="1142"/>
      <c r="G49" s="1142"/>
      <c r="H49" s="1228"/>
      <c r="I49" s="1142"/>
      <c r="J49" s="1160"/>
      <c r="K49" s="1142"/>
      <c r="L49" s="1142"/>
      <c r="M49" s="1130"/>
    </row>
    <row r="50" spans="1:13" ht="15" thickBot="1">
      <c r="A50" s="60" t="s">
        <v>41</v>
      </c>
      <c r="B50" s="193">
        <f>Data!L87</f>
        <v>14.24</v>
      </c>
      <c r="C50" s="60" t="s">
        <v>39</v>
      </c>
      <c r="D50" s="199">
        <f>Data!G84/Data!K84</f>
        <v>0.66666666666666663</v>
      </c>
      <c r="E50" s="1143"/>
      <c r="F50" s="1143"/>
      <c r="G50" s="1143"/>
      <c r="H50" s="1186"/>
      <c r="I50" s="1143"/>
      <c r="J50" s="1161"/>
      <c r="K50" s="1143"/>
      <c r="L50" s="1143"/>
      <c r="M50" s="1130"/>
    </row>
    <row r="51" spans="1:13" ht="15" thickBot="1">
      <c r="A51" s="200" t="s">
        <v>23</v>
      </c>
      <c r="B51" s="201">
        <f>Data!L87</f>
        <v>14.24</v>
      </c>
      <c r="C51" s="118" t="s">
        <v>39</v>
      </c>
      <c r="D51" s="202">
        <f>Data!G87/Data!K87</f>
        <v>0.92592592592592593</v>
      </c>
      <c r="E51" s="1195">
        <f>SUM(Data!J85:J95)</f>
        <v>1949</v>
      </c>
      <c r="F51" s="1198">
        <f>SUM(Data!H85:H95)</f>
        <v>1459</v>
      </c>
      <c r="G51" s="1198">
        <f>SUM(Data!I85:I95)</f>
        <v>493</v>
      </c>
      <c r="H51" s="1269">
        <f>F51/E51</f>
        <v>0.74858902001026162</v>
      </c>
      <c r="I51" s="1132">
        <f>AVERAGE(B51:B57)</f>
        <v>10.869811546240118</v>
      </c>
      <c r="J51" s="1146">
        <f>Data!P85/Data!O85</f>
        <v>25.714285714285715</v>
      </c>
      <c r="K51" s="1149">
        <f>E51/Data!O85</f>
        <v>278.42857142857144</v>
      </c>
      <c r="L51" s="1149">
        <f>F51/Data!O85</f>
        <v>208.42857142857142</v>
      </c>
      <c r="M51" s="1130"/>
    </row>
    <row r="52" spans="1:13" ht="15" thickBot="1">
      <c r="A52" s="118" t="s">
        <v>29</v>
      </c>
      <c r="B52" s="201">
        <f>Data!L88</f>
        <v>10.3125</v>
      </c>
      <c r="C52" s="118" t="s">
        <v>39</v>
      </c>
      <c r="D52" s="202">
        <f>Data!G88/Data!K88</f>
        <v>0.8</v>
      </c>
      <c r="E52" s="1196"/>
      <c r="F52" s="1199"/>
      <c r="G52" s="1199"/>
      <c r="H52" s="1270"/>
      <c r="I52" s="1133"/>
      <c r="J52" s="1147"/>
      <c r="K52" s="1150"/>
      <c r="L52" s="1150"/>
      <c r="M52" s="1130"/>
    </row>
    <row r="53" spans="1:13" ht="15" thickBot="1">
      <c r="A53" s="117" t="s">
        <v>36</v>
      </c>
      <c r="B53" s="201">
        <f>Data!L91</f>
        <v>11.4</v>
      </c>
      <c r="C53" s="305" t="s">
        <v>39</v>
      </c>
      <c r="D53" s="202">
        <f>Data!G91/Data!K91</f>
        <v>0.78125</v>
      </c>
      <c r="E53" s="1196"/>
      <c r="F53" s="1199"/>
      <c r="G53" s="1199"/>
      <c r="H53" s="1270"/>
      <c r="I53" s="1133"/>
      <c r="J53" s="1147"/>
      <c r="K53" s="1150"/>
      <c r="L53" s="1150"/>
      <c r="M53" s="1130"/>
    </row>
    <row r="54" spans="1:13" ht="15" thickBot="1">
      <c r="A54" s="118" t="s">
        <v>38</v>
      </c>
      <c r="B54" s="201">
        <f>Data!L92</f>
        <v>11.458333333333334</v>
      </c>
      <c r="C54" s="305" t="s">
        <v>144</v>
      </c>
      <c r="D54" s="202">
        <f>Data!G92/Data!K92</f>
        <v>0.68571428571428572</v>
      </c>
      <c r="E54" s="1196"/>
      <c r="F54" s="1199"/>
      <c r="G54" s="1199"/>
      <c r="H54" s="1270"/>
      <c r="I54" s="1133"/>
      <c r="J54" s="1147"/>
      <c r="K54" s="1150"/>
      <c r="L54" s="1150"/>
      <c r="M54" s="1130"/>
    </row>
    <row r="55" spans="1:13" ht="15" thickBot="1">
      <c r="A55" s="118" t="s">
        <v>38</v>
      </c>
      <c r="B55" s="201">
        <f>Data!L93</f>
        <v>11.1875</v>
      </c>
      <c r="C55" s="305" t="s">
        <v>34</v>
      </c>
      <c r="D55" s="202">
        <f>Data!G93/Data!K93</f>
        <v>0.8</v>
      </c>
      <c r="E55" s="1196"/>
      <c r="F55" s="1199"/>
      <c r="G55" s="1199"/>
      <c r="H55" s="1270"/>
      <c r="I55" s="1133"/>
      <c r="J55" s="1147"/>
      <c r="K55" s="1150"/>
      <c r="L55" s="1150"/>
      <c r="M55" s="1130"/>
    </row>
    <row r="56" spans="1:13" ht="15" thickBot="1">
      <c r="A56" s="118" t="s">
        <v>41</v>
      </c>
      <c r="B56" s="201">
        <f>Data!L94</f>
        <v>8.5714285714285712</v>
      </c>
      <c r="C56" s="305" t="s">
        <v>39</v>
      </c>
      <c r="D56" s="202">
        <f>Data!G94/Data!K94</f>
        <v>0.77777777777777779</v>
      </c>
      <c r="E56" s="1196"/>
      <c r="F56" s="1199"/>
      <c r="G56" s="1199"/>
      <c r="H56" s="1270"/>
      <c r="I56" s="1133"/>
      <c r="J56" s="1147"/>
      <c r="K56" s="1150"/>
      <c r="L56" s="1150"/>
      <c r="M56" s="1130"/>
    </row>
    <row r="57" spans="1:13" ht="15" thickBot="1">
      <c r="A57" s="118" t="s">
        <v>41</v>
      </c>
      <c r="B57" s="201">
        <f>Data!L95</f>
        <v>8.9189189189189193</v>
      </c>
      <c r="C57" s="305" t="s">
        <v>39</v>
      </c>
      <c r="D57" s="202">
        <f>Data!G95/Data!K95</f>
        <v>0.63793103448275867</v>
      </c>
      <c r="E57" s="1197"/>
      <c r="F57" s="1200"/>
      <c r="G57" s="1200"/>
      <c r="H57" s="1271"/>
      <c r="I57" s="1134"/>
      <c r="J57" s="1148"/>
      <c r="K57" s="1151"/>
      <c r="L57" s="1151"/>
      <c r="M57" s="1130"/>
    </row>
    <row r="58" spans="1:13" ht="15" thickBot="1">
      <c r="A58" s="52" t="s">
        <v>29</v>
      </c>
      <c r="B58" s="246">
        <f>Data!L98</f>
        <v>8.9615384615384617</v>
      </c>
      <c r="C58" s="249" t="s">
        <v>150</v>
      </c>
      <c r="D58" s="247">
        <f>Data!G98/Data!K98</f>
        <v>0.68421052631578949</v>
      </c>
      <c r="E58" s="1201">
        <f>SUM(Data!J96:J102)</f>
        <v>331.5</v>
      </c>
      <c r="F58" s="1201">
        <f>SUM(Data!H96:H102)</f>
        <v>241</v>
      </c>
      <c r="G58" s="1201">
        <f>SUM(Data!I96:I102)</f>
        <v>90</v>
      </c>
      <c r="H58" s="1214">
        <f>F58/E58</f>
        <v>0.72699849170437403</v>
      </c>
      <c r="I58" s="1155">
        <f>AVERAGE(B58:B59)</f>
        <v>9.1546822742474916</v>
      </c>
      <c r="J58" s="1157">
        <f>Data!P96/Data!O96</f>
        <v>18</v>
      </c>
      <c r="K58" s="1158">
        <f>E58/Data!O96</f>
        <v>165.75</v>
      </c>
      <c r="L58" s="1158">
        <f>F58/Data!O96</f>
        <v>120.5</v>
      </c>
      <c r="M58" s="1130"/>
    </row>
    <row r="59" spans="1:13" ht="15" thickBot="1">
      <c r="A59" s="52" t="s">
        <v>36</v>
      </c>
      <c r="B59" s="246">
        <f>Data!L100</f>
        <v>9.3478260869565215</v>
      </c>
      <c r="C59" s="248" t="s">
        <v>39</v>
      </c>
      <c r="D59" s="247">
        <f>Data!G100/Data!K100</f>
        <v>0.74193548387096775</v>
      </c>
      <c r="E59" s="1202"/>
      <c r="F59" s="1202"/>
      <c r="G59" s="1202"/>
      <c r="H59" s="1216"/>
      <c r="I59" s="1156"/>
      <c r="J59" s="1156"/>
      <c r="K59" s="1156"/>
      <c r="L59" s="1156"/>
      <c r="M59" s="1131"/>
    </row>
    <row r="60" spans="1:13" ht="15" thickBot="1">
      <c r="A60" s="20" t="s">
        <v>38</v>
      </c>
      <c r="B60" s="272">
        <f>Data!L109</f>
        <v>7.7826086956521738</v>
      </c>
      <c r="C60" s="306" t="s">
        <v>39</v>
      </c>
      <c r="D60" s="273">
        <f>Data!G109/Data!K109</f>
        <v>0.71875</v>
      </c>
      <c r="E60" s="1181">
        <f>SUM(Data!J109:J110)</f>
        <v>392</v>
      </c>
      <c r="F60" s="1183">
        <f>SUM(Data!H109:H110)</f>
        <v>276</v>
      </c>
      <c r="G60" s="1175">
        <f>SUM(Data!I109:I110)</f>
        <v>115</v>
      </c>
      <c r="H60" s="1173">
        <f>F60/E60</f>
        <v>0.70408163265306123</v>
      </c>
      <c r="I60" s="1175">
        <f>AVERAGE(B60:B61)</f>
        <v>8.5217391304347814</v>
      </c>
      <c r="J60" s="1177">
        <f>23</f>
        <v>23</v>
      </c>
      <c r="K60" s="1179">
        <f>E60/Data!O103</f>
        <v>196</v>
      </c>
      <c r="L60" s="1144">
        <f>F60/2</f>
        <v>138</v>
      </c>
      <c r="M60" s="1168" t="s">
        <v>163</v>
      </c>
    </row>
    <row r="61" spans="1:13" ht="15" thickBot="1">
      <c r="A61" s="20" t="s">
        <v>41</v>
      </c>
      <c r="B61" s="272">
        <f>Data!L110</f>
        <v>9.2608695652173907</v>
      </c>
      <c r="C61" s="306" t="s">
        <v>39</v>
      </c>
      <c r="D61" s="273">
        <f>Data!G110/Data!K110</f>
        <v>0.95833333333333337</v>
      </c>
      <c r="E61" s="1182"/>
      <c r="F61" s="1184"/>
      <c r="G61" s="1176"/>
      <c r="H61" s="1174"/>
      <c r="I61" s="1176"/>
      <c r="J61" s="1178"/>
      <c r="K61" s="1180"/>
      <c r="L61" s="1145"/>
      <c r="M61" s="1169"/>
    </row>
    <row r="62" spans="1:13" ht="15" thickBot="1">
      <c r="A62" s="60" t="s">
        <v>21</v>
      </c>
      <c r="B62" s="193">
        <f>Data!L111</f>
        <v>12.23076923076923</v>
      </c>
      <c r="C62" s="307" t="s">
        <v>39</v>
      </c>
      <c r="D62" s="274">
        <f>Data!G111/Data!K111</f>
        <v>0.66666666666666663</v>
      </c>
      <c r="E62" s="1096">
        <f>SUM(Data!J111:J123)</f>
        <v>2431.5</v>
      </c>
      <c r="F62" s="1096">
        <f>SUM(Data!H111:H123)</f>
        <v>1905</v>
      </c>
      <c r="G62" s="1258">
        <f>SUM(Data!I111:I123)</f>
        <v>547.5</v>
      </c>
      <c r="H62" s="1185">
        <f>F62/E62</f>
        <v>0.78346699568167799</v>
      </c>
      <c r="I62" s="1096">
        <f>AVERAGE(B62:B70)</f>
        <v>9.9957122344136078</v>
      </c>
      <c r="J62" s="1135">
        <f>Data!P111/Data!O111</f>
        <v>27.333333333333332</v>
      </c>
      <c r="K62" s="1138">
        <f>E62/Data!O111</f>
        <v>270.16666666666669</v>
      </c>
      <c r="L62" s="1141">
        <f>F62/Data!O111</f>
        <v>211.66666666666666</v>
      </c>
      <c r="M62" s="1169"/>
    </row>
    <row r="63" spans="1:13" ht="15" thickBot="1">
      <c r="A63" s="60" t="s">
        <v>23</v>
      </c>
      <c r="B63" s="193">
        <f>Data!L112</f>
        <v>11.846153846153847</v>
      </c>
      <c r="C63" s="307" t="s">
        <v>39</v>
      </c>
      <c r="D63" s="274">
        <f>Data!G112/Data!K112</f>
        <v>0.8666666666666667</v>
      </c>
      <c r="E63" s="1097"/>
      <c r="F63" s="1097"/>
      <c r="G63" s="1259"/>
      <c r="H63" s="1228"/>
      <c r="I63" s="1097"/>
      <c r="J63" s="1136"/>
      <c r="K63" s="1139"/>
      <c r="L63" s="1142"/>
      <c r="M63" s="1169"/>
    </row>
    <row r="64" spans="1:13" ht="15" thickBot="1">
      <c r="A64" s="60" t="s">
        <v>29</v>
      </c>
      <c r="B64" s="193">
        <f>Data!L113</f>
        <v>12.5</v>
      </c>
      <c r="C64" s="307" t="s">
        <v>39</v>
      </c>
      <c r="D64" s="274">
        <f>Data!G113/Data!K113</f>
        <v>1.04</v>
      </c>
      <c r="E64" s="1097"/>
      <c r="F64" s="1097"/>
      <c r="G64" s="1259"/>
      <c r="H64" s="1228"/>
      <c r="I64" s="1097"/>
      <c r="J64" s="1136"/>
      <c r="K64" s="1139"/>
      <c r="L64" s="1142"/>
      <c r="M64" s="1169"/>
    </row>
    <row r="65" spans="1:14" ht="15" thickBot="1">
      <c r="A65" s="60" t="s">
        <v>31</v>
      </c>
      <c r="B65" s="193">
        <f>Data!L117</f>
        <v>9.0434782608695645</v>
      </c>
      <c r="C65" s="307" t="s">
        <v>39</v>
      </c>
      <c r="D65" s="274">
        <f>Data!G117/Data!K117</f>
        <v>0.63888888888888884</v>
      </c>
      <c r="E65" s="1097"/>
      <c r="F65" s="1097"/>
      <c r="G65" s="1259"/>
      <c r="H65" s="1228"/>
      <c r="I65" s="1097"/>
      <c r="J65" s="1136"/>
      <c r="K65" s="1139"/>
      <c r="L65" s="1142"/>
      <c r="M65" s="1169"/>
    </row>
    <row r="66" spans="1:14" ht="15" thickBot="1">
      <c r="A66" s="60" t="s">
        <v>36</v>
      </c>
      <c r="B66" s="193">
        <f>Data!L118</f>
        <v>9.25</v>
      </c>
      <c r="C66" s="308" t="s">
        <v>150</v>
      </c>
      <c r="D66" s="274">
        <f>Data!G118/Data!K118</f>
        <v>0.47619047619047616</v>
      </c>
      <c r="E66" s="1097"/>
      <c r="F66" s="1097"/>
      <c r="G66" s="1259"/>
      <c r="H66" s="1228"/>
      <c r="I66" s="1097"/>
      <c r="J66" s="1136"/>
      <c r="K66" s="1139"/>
      <c r="L66" s="1142"/>
      <c r="M66" s="1169"/>
    </row>
    <row r="67" spans="1:14" ht="15" thickBot="1">
      <c r="A67" s="60" t="s">
        <v>38</v>
      </c>
      <c r="B67" s="301">
        <f>Data!L120</f>
        <v>7.166666666666667</v>
      </c>
      <c r="C67" s="189" t="s">
        <v>39</v>
      </c>
      <c r="D67" s="274">
        <f>Data!G120/Data!K120</f>
        <v>0.6</v>
      </c>
      <c r="E67" s="1097"/>
      <c r="F67" s="1097"/>
      <c r="G67" s="1259"/>
      <c r="H67" s="1228"/>
      <c r="I67" s="1097"/>
      <c r="J67" s="1136"/>
      <c r="K67" s="1139"/>
      <c r="L67" s="1142"/>
      <c r="M67" s="1169"/>
    </row>
    <row r="68" spans="1:14" ht="15" thickBot="1">
      <c r="A68" s="60" t="s">
        <v>38</v>
      </c>
      <c r="B68" s="301">
        <f>Data!L121</f>
        <v>10</v>
      </c>
      <c r="C68" s="307" t="s">
        <v>39</v>
      </c>
      <c r="D68" s="274">
        <f>Data!G121/Data!K121</f>
        <v>1.2</v>
      </c>
      <c r="E68" s="1097"/>
      <c r="F68" s="1097"/>
      <c r="G68" s="1259"/>
      <c r="H68" s="1228"/>
      <c r="I68" s="1097"/>
      <c r="J68" s="1136"/>
      <c r="K68" s="1139"/>
      <c r="L68" s="1142"/>
      <c r="M68" s="1169"/>
    </row>
    <row r="69" spans="1:14" ht="15" thickBot="1">
      <c r="A69" s="60" t="s">
        <v>41</v>
      </c>
      <c r="B69" s="301">
        <f>Data!L122</f>
        <v>9.7368421052631575</v>
      </c>
      <c r="C69" s="307" t="s">
        <v>39</v>
      </c>
      <c r="D69" s="274">
        <f>Data!G122/Data!K122</f>
        <v>0.73076923076923073</v>
      </c>
      <c r="E69" s="1097"/>
      <c r="F69" s="1097"/>
      <c r="G69" s="1259"/>
      <c r="H69" s="1228"/>
      <c r="I69" s="1097"/>
      <c r="J69" s="1136"/>
      <c r="K69" s="1139"/>
      <c r="L69" s="1142"/>
      <c r="M69" s="1169"/>
    </row>
    <row r="70" spans="1:14" ht="15" thickBot="1">
      <c r="A70" s="60" t="s">
        <v>41</v>
      </c>
      <c r="B70" s="301">
        <f>Data!L123</f>
        <v>8.1875</v>
      </c>
      <c r="C70" s="307" t="s">
        <v>39</v>
      </c>
      <c r="D70" s="274">
        <f>Data!G123/Data!K123</f>
        <v>0.88888888888888884</v>
      </c>
      <c r="E70" s="1098"/>
      <c r="F70" s="1098"/>
      <c r="G70" s="1260"/>
      <c r="H70" s="1186"/>
      <c r="I70" s="1098"/>
      <c r="J70" s="1137"/>
      <c r="K70" s="1140"/>
      <c r="L70" s="1143"/>
      <c r="M70" s="1169"/>
    </row>
    <row r="71" spans="1:14" ht="15" thickBot="1">
      <c r="A71" s="310" t="s">
        <v>23</v>
      </c>
      <c r="B71" s="309">
        <f>Data!L125</f>
        <v>13.166666666666666</v>
      </c>
      <c r="C71" s="311" t="s">
        <v>251</v>
      </c>
      <c r="D71" s="313">
        <f>Data!G125/Data!K125</f>
        <v>0.73170731707317072</v>
      </c>
      <c r="E71" s="1232">
        <f>SUM(Data!J125:J130)</f>
        <v>1105</v>
      </c>
      <c r="F71" s="1232">
        <f>SUM(Data!H125:H130)</f>
        <v>940</v>
      </c>
      <c r="G71" s="1232">
        <f>SUM(Data!I125:I130)</f>
        <v>152.5</v>
      </c>
      <c r="H71" s="1243">
        <f>F71/E71</f>
        <v>0.85067873303167418</v>
      </c>
      <c r="I71" s="1246">
        <f>AVERAGE(B71:B75)</f>
        <v>11.297435897435896</v>
      </c>
      <c r="J71" s="1235">
        <f>Data!P124/Data!O124</f>
        <v>19.2</v>
      </c>
      <c r="K71" s="1238">
        <f>E71/5</f>
        <v>221</v>
      </c>
      <c r="L71" s="1238">
        <f>F71/5</f>
        <v>188</v>
      </c>
      <c r="M71" s="1169"/>
    </row>
    <row r="72" spans="1:14" ht="15" thickBot="1">
      <c r="A72" s="310" t="s">
        <v>29</v>
      </c>
      <c r="B72" s="309">
        <f>Data!L126</f>
        <v>16.153846153846153</v>
      </c>
      <c r="C72" s="311" t="s">
        <v>150</v>
      </c>
      <c r="D72" s="313">
        <f>Data!G126/Data!K126</f>
        <v>0.72222222222222221</v>
      </c>
      <c r="E72" s="1233"/>
      <c r="F72" s="1233"/>
      <c r="G72" s="1233"/>
      <c r="H72" s="1244"/>
      <c r="I72" s="1247"/>
      <c r="J72" s="1236"/>
      <c r="K72" s="1239"/>
      <c r="L72" s="1239"/>
      <c r="M72" s="1169"/>
    </row>
    <row r="73" spans="1:14" ht="15" thickBot="1">
      <c r="A73" s="310" t="s">
        <v>31</v>
      </c>
      <c r="B73" s="309">
        <f>Data!L127</f>
        <v>10</v>
      </c>
      <c r="C73" s="311" t="s">
        <v>39</v>
      </c>
      <c r="D73" s="313">
        <f>Data!G127/Data!K127</f>
        <v>0.82352941176470584</v>
      </c>
      <c r="E73" s="1233"/>
      <c r="F73" s="1233"/>
      <c r="G73" s="1233"/>
      <c r="H73" s="1244"/>
      <c r="I73" s="1247"/>
      <c r="J73" s="1236"/>
      <c r="K73" s="1239"/>
      <c r="L73" s="1239"/>
      <c r="M73" s="1169"/>
    </row>
    <row r="74" spans="1:14" ht="15" thickBot="1">
      <c r="A74" s="310" t="s">
        <v>36</v>
      </c>
      <c r="B74" s="309">
        <f>Data!L128</f>
        <v>9.6666666666666661</v>
      </c>
      <c r="C74" s="310" t="s">
        <v>150</v>
      </c>
      <c r="D74" s="313">
        <f>Data!G128/Data!K128</f>
        <v>0.83333333333333337</v>
      </c>
      <c r="E74" s="1233"/>
      <c r="F74" s="1233"/>
      <c r="G74" s="1233"/>
      <c r="H74" s="1244"/>
      <c r="I74" s="1247"/>
      <c r="J74" s="1236"/>
      <c r="K74" s="1239"/>
      <c r="L74" s="1239"/>
      <c r="M74" s="1169"/>
    </row>
    <row r="75" spans="1:14" ht="15" thickBot="1">
      <c r="A75" s="310" t="s">
        <v>41</v>
      </c>
      <c r="B75" s="309">
        <f>Data!L130</f>
        <v>7.5</v>
      </c>
      <c r="C75" s="310" t="s">
        <v>39</v>
      </c>
      <c r="D75" s="313">
        <f>Data!G130/Data!K130</f>
        <v>0.5</v>
      </c>
      <c r="E75" s="1234"/>
      <c r="F75" s="1234"/>
      <c r="G75" s="1234"/>
      <c r="H75" s="1245"/>
      <c r="I75" s="1248"/>
      <c r="J75" s="1237"/>
      <c r="K75" s="1240"/>
      <c r="L75" s="1240"/>
      <c r="M75" s="1169"/>
    </row>
    <row r="76" spans="1:14" ht="15" thickBot="1">
      <c r="A76" s="52" t="s">
        <v>31</v>
      </c>
      <c r="B76" s="321">
        <f>Data!L134</f>
        <v>9.0526315789473681</v>
      </c>
      <c r="C76" s="322" t="s">
        <v>39</v>
      </c>
      <c r="D76" s="323">
        <f>Data!G134/Data!K134</f>
        <v>1.6521739130434783</v>
      </c>
      <c r="E76" s="1255">
        <f>SUM(Data!J131:J137)</f>
        <v>746</v>
      </c>
      <c r="F76" s="1255">
        <f>SUM(Data!H131:H137)</f>
        <v>563.70000000000005</v>
      </c>
      <c r="G76" s="1255">
        <f>SUM(Data!I131:I137)</f>
        <v>182.5</v>
      </c>
      <c r="H76" s="1214">
        <f>F76/E76</f>
        <v>0.75563002680965152</v>
      </c>
      <c r="I76" s="1158">
        <f>AVERAGE(B76:B78)</f>
        <v>10.070175438596491</v>
      </c>
      <c r="J76" s="1266">
        <f>Data!P131/Data!O131</f>
        <v>25.333333333333332</v>
      </c>
      <c r="K76" s="1155">
        <f>E76/3</f>
        <v>248.66666666666666</v>
      </c>
      <c r="L76" s="1155">
        <f>F76/3</f>
        <v>187.9</v>
      </c>
      <c r="M76" s="1169"/>
    </row>
    <row r="77" spans="1:14" ht="15" thickBot="1">
      <c r="A77" s="52" t="s">
        <v>36</v>
      </c>
      <c r="B77" s="325">
        <f>Data!L135</f>
        <v>13.421052631578947</v>
      </c>
      <c r="C77" s="52" t="s">
        <v>150</v>
      </c>
      <c r="D77" s="323">
        <f>Data!G135/Data!K135</f>
        <v>0.79166666666666663</v>
      </c>
      <c r="E77" s="1256"/>
      <c r="F77" s="1256"/>
      <c r="G77" s="1256"/>
      <c r="H77" s="1215"/>
      <c r="I77" s="1212"/>
      <c r="J77" s="1267"/>
      <c r="K77" s="1249"/>
      <c r="L77" s="1249"/>
      <c r="M77" s="1169"/>
    </row>
    <row r="78" spans="1:14" ht="15" thickBot="1">
      <c r="A78" s="67" t="s">
        <v>38</v>
      </c>
      <c r="B78" s="330">
        <f>Data!L136</f>
        <v>7.7368421052631575</v>
      </c>
      <c r="C78" s="67" t="s">
        <v>39</v>
      </c>
      <c r="D78" s="331">
        <f>Data!G136/Data!K136</f>
        <v>0.76</v>
      </c>
      <c r="E78" s="1257"/>
      <c r="F78" s="1257"/>
      <c r="G78" s="1257"/>
      <c r="H78" s="1216"/>
      <c r="I78" s="1213"/>
      <c r="J78" s="1268"/>
      <c r="K78" s="1250"/>
      <c r="L78" s="1250"/>
      <c r="M78" s="1169"/>
    </row>
    <row r="79" spans="1:14" ht="15" thickBot="1">
      <c r="A79" s="72" t="s">
        <v>21</v>
      </c>
      <c r="B79" s="360">
        <f>Data!L138</f>
        <v>14.117647058823529</v>
      </c>
      <c r="C79" s="72" t="s">
        <v>39</v>
      </c>
      <c r="D79" s="361">
        <f>Data!G138/Data!K138</f>
        <v>0.68</v>
      </c>
      <c r="E79" s="1225">
        <f>SUM(Data!J138:J144)</f>
        <v>1427</v>
      </c>
      <c r="F79" s="1225">
        <f>SUM(Data!H138:H144)</f>
        <v>1109.5</v>
      </c>
      <c r="G79" s="1225">
        <f>SUM(Data!I138:I144)</f>
        <v>312.5</v>
      </c>
      <c r="H79" s="1261">
        <f>F79/E79</f>
        <v>0.77750525578135954</v>
      </c>
      <c r="I79" s="1225">
        <f>AVERAGE(B79:B85)</f>
        <v>10.479304918253773</v>
      </c>
      <c r="J79" s="1251">
        <f>Data!P138/Data!O138</f>
        <v>19.714285714285715</v>
      </c>
      <c r="K79" s="1225">
        <f>E79/7</f>
        <v>203.85714285714286</v>
      </c>
      <c r="L79" s="1225">
        <f>F79/7</f>
        <v>158.5</v>
      </c>
      <c r="M79" s="1169"/>
      <c r="N79" s="203" t="s">
        <v>252</v>
      </c>
    </row>
    <row r="80" spans="1:14" ht="15" thickBot="1">
      <c r="A80" s="72" t="s">
        <v>29</v>
      </c>
      <c r="B80" s="360">
        <f>Data!L140</f>
        <v>13.333333333333334</v>
      </c>
      <c r="C80" s="72" t="s">
        <v>150</v>
      </c>
      <c r="D80" s="361">
        <f>Data!G140/Data!K140</f>
        <v>0.46153846153846156</v>
      </c>
      <c r="E80" s="1226"/>
      <c r="F80" s="1226"/>
      <c r="G80" s="1226"/>
      <c r="H80" s="1262"/>
      <c r="I80" s="1226"/>
      <c r="J80" s="1252"/>
      <c r="K80" s="1226"/>
      <c r="L80" s="1226"/>
      <c r="M80" s="1169"/>
      <c r="N80" s="203"/>
    </row>
    <row r="81" spans="1:14" ht="15" thickBot="1">
      <c r="A81" s="72" t="s">
        <v>31</v>
      </c>
      <c r="B81" s="360">
        <f>Data!L141</f>
        <v>10.241379310344827</v>
      </c>
      <c r="C81" s="72" t="s">
        <v>144</v>
      </c>
      <c r="D81" s="362">
        <f>Data!G141/Data!K141</f>
        <v>0.70731707317073167</v>
      </c>
      <c r="E81" s="1226"/>
      <c r="F81" s="1226"/>
      <c r="G81" s="1226"/>
      <c r="H81" s="1262"/>
      <c r="I81" s="1226"/>
      <c r="J81" s="1252"/>
      <c r="K81" s="1226"/>
      <c r="L81" s="1226"/>
      <c r="M81" s="1169"/>
      <c r="N81" s="203"/>
    </row>
    <row r="82" spans="1:14" ht="15" thickBot="1">
      <c r="A82" s="72" t="s">
        <v>36</v>
      </c>
      <c r="B82" s="360">
        <f>Data!L142</f>
        <v>8.3928571428571423</v>
      </c>
      <c r="C82" s="72" t="s">
        <v>39</v>
      </c>
      <c r="D82" s="361">
        <f>Data!G142/Data!K142</f>
        <v>0.73684210526315785</v>
      </c>
      <c r="E82" s="1226"/>
      <c r="F82" s="1226"/>
      <c r="G82" s="1226"/>
      <c r="H82" s="1262"/>
      <c r="I82" s="1226"/>
      <c r="J82" s="1252"/>
      <c r="K82" s="1226"/>
      <c r="L82" s="1226"/>
      <c r="M82" s="1169"/>
      <c r="N82" s="203" t="s">
        <v>252</v>
      </c>
    </row>
    <row r="83" spans="1:14" ht="15" thickBot="1">
      <c r="A83" s="72" t="s">
        <v>38</v>
      </c>
      <c r="B83" s="360">
        <f>Data!L143</f>
        <v>10.9375</v>
      </c>
      <c r="C83" s="72" t="s">
        <v>39</v>
      </c>
      <c r="D83" s="361">
        <f>Data!G143/Data!K143</f>
        <v>0.7441860465116279</v>
      </c>
      <c r="E83" s="1226"/>
      <c r="F83" s="1226"/>
      <c r="G83" s="1226"/>
      <c r="H83" s="1262"/>
      <c r="I83" s="1226"/>
      <c r="J83" s="1252"/>
      <c r="K83" s="1226"/>
      <c r="L83" s="1226"/>
      <c r="M83" s="1169"/>
      <c r="N83" s="203" t="s">
        <v>252</v>
      </c>
    </row>
    <row r="84" spans="1:14" ht="15" thickBot="1">
      <c r="A84" s="72" t="s">
        <v>41</v>
      </c>
      <c r="B84" s="363">
        <f>Data!L144</f>
        <v>8.6538461538461533</v>
      </c>
      <c r="C84" s="72" t="s">
        <v>39</v>
      </c>
      <c r="D84" s="361">
        <f>Data!G144/Data!K144</f>
        <v>1</v>
      </c>
      <c r="E84" s="1226"/>
      <c r="F84" s="1226"/>
      <c r="G84" s="1226"/>
      <c r="H84" s="1262"/>
      <c r="I84" s="1226"/>
      <c r="J84" s="1252"/>
      <c r="K84" s="1226"/>
      <c r="L84" s="1226"/>
      <c r="M84" s="1169"/>
      <c r="N84" s="203" t="s">
        <v>252</v>
      </c>
    </row>
    <row r="85" spans="1:14" ht="15" thickBot="1">
      <c r="A85" s="72" t="s">
        <v>41</v>
      </c>
      <c r="B85" s="360">
        <f>Data!L145</f>
        <v>7.6785714285714288</v>
      </c>
      <c r="C85" s="72" t="s">
        <v>150</v>
      </c>
      <c r="D85" s="361">
        <f>Data!G145/Data!K145</f>
        <v>0.65116279069767447</v>
      </c>
      <c r="E85" s="1226"/>
      <c r="F85" s="1226"/>
      <c r="G85" s="1226"/>
      <c r="H85" s="1262"/>
      <c r="I85" s="1226"/>
      <c r="J85" s="1252"/>
      <c r="K85" s="1226"/>
      <c r="L85" s="1226"/>
      <c r="M85" s="1169"/>
    </row>
    <row r="86" spans="1:14" ht="15" thickBot="1">
      <c r="A86" s="49" t="s">
        <v>21</v>
      </c>
      <c r="B86" s="364">
        <f>Data!L146</f>
        <v>9.2857142857142865</v>
      </c>
      <c r="C86" s="49" t="s">
        <v>144</v>
      </c>
      <c r="D86" s="365">
        <f>Data!G146/Data!K146</f>
        <v>0.72916666666666663</v>
      </c>
      <c r="E86" s="1127">
        <f>SUM(Data!J146:J153)</f>
        <v>1417.9</v>
      </c>
      <c r="F86" s="1033">
        <f>SUM(Data!H146:H153)</f>
        <v>1078</v>
      </c>
      <c r="G86" s="1033">
        <f>SUM(Data!I146:I153)</f>
        <v>340</v>
      </c>
      <c r="H86" s="1035">
        <f>F86/E86</f>
        <v>0.76027928626842511</v>
      </c>
      <c r="I86" s="1033">
        <f>AVERAGE(B86:B90)</f>
        <v>9.1018668831168839</v>
      </c>
      <c r="J86" s="1253">
        <f>Data!P146/Data!O146</f>
        <v>30.2</v>
      </c>
      <c r="K86" s="1033">
        <f>E86/6</f>
        <v>236.31666666666669</v>
      </c>
      <c r="L86" s="1241">
        <f>F86/5</f>
        <v>215.6</v>
      </c>
      <c r="M86" s="1099" t="s">
        <v>205</v>
      </c>
    </row>
    <row r="87" spans="1:14" ht="15" thickBot="1">
      <c r="A87" s="49" t="s">
        <v>31</v>
      </c>
      <c r="B87" s="364">
        <f>Data!L149</f>
        <v>8.125</v>
      </c>
      <c r="C87" s="49" t="s">
        <v>39</v>
      </c>
      <c r="D87" s="365">
        <f>Data!G149/Data!K149</f>
        <v>0.58536585365853655</v>
      </c>
      <c r="E87" s="1128"/>
      <c r="F87" s="1034"/>
      <c r="G87" s="1034"/>
      <c r="H87" s="1036"/>
      <c r="I87" s="1034"/>
      <c r="J87" s="1254"/>
      <c r="K87" s="1034"/>
      <c r="L87" s="1242"/>
      <c r="M87" s="1100"/>
      <c r="N87" s="203" t="s">
        <v>252</v>
      </c>
    </row>
    <row r="88" spans="1:14" ht="15" thickBot="1">
      <c r="A88" s="49" t="s">
        <v>36</v>
      </c>
      <c r="B88" s="364">
        <f>Data!L150</f>
        <v>8.9285714285714288</v>
      </c>
      <c r="C88" s="49" t="s">
        <v>39</v>
      </c>
      <c r="D88" s="365">
        <f>Data!G150/Data!K150</f>
        <v>0.82352941176470584</v>
      </c>
      <c r="E88" s="1128"/>
      <c r="F88" s="1034"/>
      <c r="G88" s="1034"/>
      <c r="H88" s="1036"/>
      <c r="I88" s="1034"/>
      <c r="J88" s="1254"/>
      <c r="K88" s="1034"/>
      <c r="L88" s="1242"/>
      <c r="M88" s="1100"/>
    </row>
    <row r="89" spans="1:14" ht="15" thickBot="1">
      <c r="A89" s="49" t="s">
        <v>38</v>
      </c>
      <c r="B89" s="364">
        <f>Data!L151</f>
        <v>10.068181818181818</v>
      </c>
      <c r="C89" s="49" t="s">
        <v>39</v>
      </c>
      <c r="D89" s="365">
        <f>Data!G151/Data!K151</f>
        <v>0.84615384615384615</v>
      </c>
      <c r="E89" s="1128"/>
      <c r="F89" s="1034"/>
      <c r="G89" s="1034"/>
      <c r="H89" s="1036"/>
      <c r="I89" s="1034"/>
      <c r="J89" s="1254"/>
      <c r="K89" s="1034"/>
      <c r="L89" s="1242"/>
      <c r="M89" s="1100"/>
    </row>
    <row r="90" spans="1:14" ht="15" thickBot="1">
      <c r="A90" s="49"/>
      <c r="B90" s="364"/>
      <c r="C90" s="49"/>
      <c r="D90" s="365"/>
      <c r="E90" s="1128"/>
      <c r="F90" s="1034"/>
      <c r="G90" s="1034"/>
      <c r="H90" s="1036"/>
      <c r="I90" s="1034"/>
      <c r="J90" s="1254"/>
      <c r="K90" s="1034"/>
      <c r="L90" s="1242"/>
      <c r="M90" s="1100"/>
    </row>
    <row r="91" spans="1:14" ht="15" thickBot="1">
      <c r="A91" s="49" t="s">
        <v>41</v>
      </c>
      <c r="B91" s="364">
        <f>Data!L153</f>
        <v>10.245000000000001</v>
      </c>
      <c r="C91" s="388" t="s">
        <v>39</v>
      </c>
      <c r="D91" s="365">
        <f>Data!G153/Data!K153</f>
        <v>0.83333333333333337</v>
      </c>
      <c r="E91" s="1128"/>
      <c r="F91" s="1034"/>
      <c r="G91" s="1034"/>
      <c r="H91" s="1036"/>
      <c r="I91" s="1034"/>
      <c r="J91" s="1254"/>
      <c r="K91" s="1034"/>
      <c r="L91" s="1242"/>
      <c r="M91" s="1100"/>
    </row>
    <row r="92" spans="1:14" ht="15" thickBot="1">
      <c r="A92" s="379" t="s">
        <v>21</v>
      </c>
      <c r="B92" s="386">
        <f>Data!L154</f>
        <v>10.538461538461538</v>
      </c>
      <c r="C92" s="385" t="s">
        <v>39</v>
      </c>
      <c r="D92" s="387">
        <f>Data!G154/Data!K154</f>
        <v>0.65</v>
      </c>
      <c r="E92" s="1037">
        <f>SUM(Data!J154:J161)</f>
        <v>1332</v>
      </c>
      <c r="F92" s="1037">
        <f>SUM(Data!H154:H161)</f>
        <v>1094.5</v>
      </c>
      <c r="G92" s="1037">
        <f>SUM(Data!I154:I161)</f>
        <v>325.5</v>
      </c>
      <c r="H92" s="1285">
        <f>F92/E92</f>
        <v>0.82169669669669665</v>
      </c>
      <c r="I92" s="1123">
        <f>AVERAGE(B92:B99)</f>
        <v>10.4442279577148</v>
      </c>
      <c r="J92" s="1125">
        <f>Data!P154/Data!O154</f>
        <v>21.666666666666668</v>
      </c>
      <c r="K92" s="1037">
        <f>E92/6</f>
        <v>222</v>
      </c>
      <c r="L92" s="1037">
        <f>F92/6</f>
        <v>182.41666666666666</v>
      </c>
      <c r="M92" s="1100"/>
    </row>
    <row r="93" spans="1:14" ht="15" thickBot="1">
      <c r="A93" s="389" t="s">
        <v>23</v>
      </c>
      <c r="B93" s="393">
        <f>Data!L155</f>
        <v>10.1875</v>
      </c>
      <c r="C93" s="383" t="s">
        <v>39</v>
      </c>
      <c r="D93" s="387">
        <f>Data!G155/Data!K155</f>
        <v>1</v>
      </c>
      <c r="E93" s="1038"/>
      <c r="F93" s="1038"/>
      <c r="G93" s="1038"/>
      <c r="H93" s="1286"/>
      <c r="I93" s="1124"/>
      <c r="J93" s="1126"/>
      <c r="K93" s="1038"/>
      <c r="L93" s="1038"/>
      <c r="M93" s="1100"/>
    </row>
    <row r="94" spans="1:14" ht="15" thickBot="1">
      <c r="A94" s="379" t="s">
        <v>29</v>
      </c>
      <c r="B94" s="386">
        <f>Data!L156</f>
        <v>11.6</v>
      </c>
      <c r="C94" s="383" t="s">
        <v>39</v>
      </c>
      <c r="D94" s="387">
        <f>Data!G156/Data!K156</f>
        <v>0.80645161290322576</v>
      </c>
      <c r="E94" s="1038"/>
      <c r="F94" s="1038"/>
      <c r="G94" s="1038"/>
      <c r="H94" s="1286"/>
      <c r="I94" s="1124"/>
      <c r="J94" s="1126"/>
      <c r="K94" s="1038"/>
      <c r="L94" s="1038"/>
      <c r="M94" s="1100"/>
    </row>
    <row r="95" spans="1:14" ht="15" thickBot="1">
      <c r="A95" s="389"/>
      <c r="B95" s="393"/>
      <c r="C95" s="383"/>
      <c r="D95" s="387"/>
      <c r="E95" s="1038"/>
      <c r="F95" s="1038"/>
      <c r="G95" s="1038"/>
      <c r="H95" s="1286"/>
      <c r="I95" s="1124"/>
      <c r="J95" s="1126"/>
      <c r="K95" s="1038"/>
      <c r="L95" s="1038"/>
      <c r="M95" s="1100"/>
    </row>
    <row r="96" spans="1:14" ht="15" thickBot="1">
      <c r="A96" s="379" t="s">
        <v>31</v>
      </c>
      <c r="B96" s="386">
        <f>Data!L158</f>
        <v>8.7368421052631575</v>
      </c>
      <c r="C96" s="383" t="s">
        <v>34</v>
      </c>
      <c r="D96" s="387">
        <f>Data!G158/Data!K158</f>
        <v>1.0555555555555556</v>
      </c>
      <c r="E96" s="1038"/>
      <c r="F96" s="1038"/>
      <c r="G96" s="1038"/>
      <c r="H96" s="1286"/>
      <c r="I96" s="1124"/>
      <c r="J96" s="1126"/>
      <c r="K96" s="1038"/>
      <c r="L96" s="1038"/>
      <c r="M96" s="1100"/>
    </row>
    <row r="97" spans="1:13" ht="15" thickBot="1">
      <c r="A97" s="389"/>
      <c r="B97" s="393"/>
      <c r="C97" s="383"/>
      <c r="D97" s="387"/>
      <c r="E97" s="1038"/>
      <c r="F97" s="1038"/>
      <c r="G97" s="1038"/>
      <c r="H97" s="1286"/>
      <c r="I97" s="1124"/>
      <c r="J97" s="1126"/>
      <c r="K97" s="1038"/>
      <c r="L97" s="1038"/>
      <c r="M97" s="1100"/>
    </row>
    <row r="98" spans="1:13" ht="15" thickBot="1">
      <c r="A98" s="379" t="s">
        <v>38</v>
      </c>
      <c r="B98" s="386">
        <f>Data!L160</f>
        <v>10.76923076923077</v>
      </c>
      <c r="C98" s="389" t="s">
        <v>39</v>
      </c>
      <c r="D98" s="387">
        <f>Data!G160/Data!K160</f>
        <v>0.83870967741935487</v>
      </c>
      <c r="E98" s="1038"/>
      <c r="F98" s="1038"/>
      <c r="G98" s="1038"/>
      <c r="H98" s="1286"/>
      <c r="I98" s="1124"/>
      <c r="J98" s="1126"/>
      <c r="K98" s="1038"/>
      <c r="L98" s="1038"/>
      <c r="M98" s="1100"/>
    </row>
    <row r="99" spans="1:13" ht="15" thickBot="1">
      <c r="A99" s="389" t="s">
        <v>41</v>
      </c>
      <c r="B99" s="394">
        <f>Data!L161</f>
        <v>10.833333333333334</v>
      </c>
      <c r="C99" s="379" t="s">
        <v>39</v>
      </c>
      <c r="D99" s="384">
        <f>Data!G161/Data!K161</f>
        <v>0.54545454545454541</v>
      </c>
      <c r="E99" s="1038"/>
      <c r="F99" s="1038"/>
      <c r="G99" s="1038"/>
      <c r="H99" s="1286"/>
      <c r="I99" s="1124"/>
      <c r="J99" s="1126"/>
      <c r="K99" s="1038"/>
      <c r="L99" s="1038"/>
      <c r="M99" s="1100"/>
    </row>
    <row r="100" spans="1:13" ht="15" thickBot="1">
      <c r="A100" s="380" t="s">
        <v>21</v>
      </c>
      <c r="B100" s="391">
        <f>Data!L162</f>
        <v>10</v>
      </c>
      <c r="C100" s="390" t="s">
        <v>39</v>
      </c>
      <c r="D100" s="396">
        <f>Data!G162/Data!K162</f>
        <v>0.79166666666666663</v>
      </c>
      <c r="E100" s="1283">
        <f>SUM(Data!J162:J169)</f>
        <v>2096.9</v>
      </c>
      <c r="F100" s="1283">
        <f>SUM(Data!H162:H169)</f>
        <v>1612</v>
      </c>
      <c r="G100" s="1283">
        <f>SUM(Data!I162:I169)</f>
        <v>484.9</v>
      </c>
      <c r="H100" s="1078">
        <f>F100/E100</f>
        <v>0.76875387476751389</v>
      </c>
      <c r="I100" s="1088">
        <f>AVERAGE(B100:B107)</f>
        <v>9.8876157398128033</v>
      </c>
      <c r="J100" s="1119">
        <f>Data!P162/Data!O162</f>
        <v>27.25</v>
      </c>
      <c r="K100" s="1121">
        <f>E100/8</f>
        <v>262.11250000000001</v>
      </c>
      <c r="L100" s="1121">
        <f>F100/8</f>
        <v>201.5</v>
      </c>
      <c r="M100" s="1100"/>
    </row>
    <row r="101" spans="1:13" ht="15" thickBot="1">
      <c r="A101" s="390" t="s">
        <v>23</v>
      </c>
      <c r="B101" s="395">
        <f>Data!L163</f>
        <v>11.739130434782609</v>
      </c>
      <c r="C101" s="380" t="s">
        <v>39</v>
      </c>
      <c r="D101" s="323">
        <f>Data!G163/Data!K163</f>
        <v>0.74193548387096775</v>
      </c>
      <c r="E101" s="1284"/>
      <c r="F101" s="1284"/>
      <c r="G101" s="1284"/>
      <c r="H101" s="1079"/>
      <c r="I101" s="1089"/>
      <c r="J101" s="1120"/>
      <c r="K101" s="1122"/>
      <c r="L101" s="1122"/>
      <c r="M101" s="1100"/>
    </row>
    <row r="102" spans="1:13" ht="15" thickBot="1">
      <c r="A102" s="380" t="s">
        <v>29</v>
      </c>
      <c r="B102" s="391">
        <f>Data!L164</f>
        <v>10.168965517241379</v>
      </c>
      <c r="C102" s="390" t="s">
        <v>39</v>
      </c>
      <c r="D102" s="396">
        <f>Data!G164/Data!K164</f>
        <v>1.1153846153846154</v>
      </c>
      <c r="E102" s="1284"/>
      <c r="F102" s="1284"/>
      <c r="G102" s="1284"/>
      <c r="H102" s="1079"/>
      <c r="I102" s="1089"/>
      <c r="J102" s="1120"/>
      <c r="K102" s="1122"/>
      <c r="L102" s="1122"/>
      <c r="M102" s="1100"/>
    </row>
    <row r="103" spans="1:13" ht="15" thickBot="1">
      <c r="A103" s="390" t="s">
        <v>31</v>
      </c>
      <c r="B103" s="395">
        <f>Data!L165</f>
        <v>9.7241379310344822</v>
      </c>
      <c r="C103" s="380" t="s">
        <v>144</v>
      </c>
      <c r="D103" s="323">
        <f>Data!G165/Data!K165</f>
        <v>0.76315789473684215</v>
      </c>
      <c r="E103" s="1284"/>
      <c r="F103" s="1284"/>
      <c r="G103" s="1284"/>
      <c r="H103" s="1079"/>
      <c r="I103" s="1089"/>
      <c r="J103" s="1120"/>
      <c r="K103" s="1122"/>
      <c r="L103" s="1122"/>
      <c r="M103" s="1100"/>
    </row>
    <row r="104" spans="1:13" ht="15" thickBot="1">
      <c r="A104" s="380" t="s">
        <v>36</v>
      </c>
      <c r="B104" s="391">
        <f>Data!L166</f>
        <v>8.2888888888888896</v>
      </c>
      <c r="C104" s="390" t="s">
        <v>39</v>
      </c>
      <c r="D104" s="396">
        <f>Data!G166/Data!K166</f>
        <v>0.81818181818181823</v>
      </c>
      <c r="E104" s="1284"/>
      <c r="F104" s="1284"/>
      <c r="G104" s="1284"/>
      <c r="H104" s="1079"/>
      <c r="I104" s="1089"/>
      <c r="J104" s="1120"/>
      <c r="K104" s="1122"/>
      <c r="L104" s="1122"/>
      <c r="M104" s="1100"/>
    </row>
    <row r="105" spans="1:13" ht="15" thickBot="1">
      <c r="A105" s="390" t="s">
        <v>36</v>
      </c>
      <c r="B105" s="395">
        <f>Data!L167</f>
        <v>10.588235294117647</v>
      </c>
      <c r="C105" s="380" t="s">
        <v>253</v>
      </c>
      <c r="D105" s="323">
        <f>Data!G167/Data!K167</f>
        <v>1</v>
      </c>
      <c r="E105" s="1284"/>
      <c r="F105" s="1284"/>
      <c r="G105" s="1284"/>
      <c r="H105" s="1079"/>
      <c r="I105" s="1089"/>
      <c r="J105" s="1120"/>
      <c r="K105" s="1122"/>
      <c r="L105" s="1122"/>
      <c r="M105" s="1100"/>
    </row>
    <row r="106" spans="1:13" ht="15" thickBot="1">
      <c r="A106" s="380" t="s">
        <v>38</v>
      </c>
      <c r="B106" s="391">
        <f>Data!L168</f>
        <v>7.9393939393939394</v>
      </c>
      <c r="C106" s="392" t="s">
        <v>39</v>
      </c>
      <c r="D106" s="396">
        <f>Data!G168/Data!K168</f>
        <v>0.94285714285714284</v>
      </c>
      <c r="E106" s="1284"/>
      <c r="F106" s="1284"/>
      <c r="G106" s="1284"/>
      <c r="H106" s="1079"/>
      <c r="I106" s="1089"/>
      <c r="J106" s="1120"/>
      <c r="K106" s="1122"/>
      <c r="L106" s="1122"/>
      <c r="M106" s="1100"/>
    </row>
    <row r="107" spans="1:13" ht="15" thickBot="1">
      <c r="A107" s="392" t="s">
        <v>41</v>
      </c>
      <c r="B107" s="405">
        <f>Data!L169</f>
        <v>10.652173913043478</v>
      </c>
      <c r="C107" s="392" t="s">
        <v>39</v>
      </c>
      <c r="D107" s="406">
        <f>Data!G169/Data!K169</f>
        <v>0.8214285714285714</v>
      </c>
      <c r="E107" s="1284"/>
      <c r="F107" s="1284"/>
      <c r="G107" s="1284"/>
      <c r="H107" s="1079"/>
      <c r="I107" s="1089"/>
      <c r="J107" s="1120"/>
      <c r="K107" s="1122"/>
      <c r="L107" s="1122"/>
      <c r="M107" s="1100"/>
    </row>
    <row r="108" spans="1:13" ht="15" thickBot="1">
      <c r="A108" s="404" t="s">
        <v>31</v>
      </c>
      <c r="B108" s="441">
        <f>Data!L173</f>
        <v>8.26</v>
      </c>
      <c r="C108" s="404" t="s">
        <v>39</v>
      </c>
      <c r="D108" s="411">
        <f>Data!G173/Data!K173</f>
        <v>0.83333333333333337</v>
      </c>
      <c r="E108" s="1109">
        <f>SUM(Data!J170:J178)</f>
        <v>1475</v>
      </c>
      <c r="F108" s="1111">
        <f>SUM(Data!H170:H178)</f>
        <v>1107.5</v>
      </c>
      <c r="G108" s="1111">
        <f>SUM(Data!I170:I178)</f>
        <v>372.5</v>
      </c>
      <c r="H108" s="1113">
        <f>F108/E108</f>
        <v>0.75084745762711869</v>
      </c>
      <c r="I108" s="1115">
        <f>AVERAGE(B108:B111)</f>
        <v>8.659017094017095</v>
      </c>
      <c r="J108" s="1117">
        <f>Data!P170/Data!O170</f>
        <v>27.8</v>
      </c>
      <c r="K108" s="1111">
        <f>E108/5</f>
        <v>295</v>
      </c>
      <c r="L108" s="1055">
        <f>F108/5</f>
        <v>221.5</v>
      </c>
      <c r="M108" s="1100"/>
    </row>
    <row r="109" spans="1:13" ht="15" thickBot="1">
      <c r="A109" s="403" t="s">
        <v>36</v>
      </c>
      <c r="B109" s="440">
        <f>Data!L174</f>
        <v>9.1111111111111107</v>
      </c>
      <c r="C109" s="403" t="s">
        <v>39</v>
      </c>
      <c r="D109" s="411">
        <f>Data!G174/Data!K174</f>
        <v>0.81818181818181823</v>
      </c>
      <c r="E109" s="1110"/>
      <c r="F109" s="1112"/>
      <c r="G109" s="1112"/>
      <c r="H109" s="1114"/>
      <c r="I109" s="1116"/>
      <c r="J109" s="1118"/>
      <c r="K109" s="1112"/>
      <c r="L109" s="1056"/>
      <c r="M109" s="1100"/>
    </row>
    <row r="110" spans="1:13" ht="15" thickBot="1">
      <c r="A110" s="412" t="s">
        <v>38</v>
      </c>
      <c r="B110" s="442">
        <f>Data!L175</f>
        <v>8.6111111111111107</v>
      </c>
      <c r="C110" s="414" t="s">
        <v>39</v>
      </c>
      <c r="D110" s="413">
        <f>Data!G175/Data!K175</f>
        <v>0.72</v>
      </c>
      <c r="E110" s="1110"/>
      <c r="F110" s="1112"/>
      <c r="G110" s="1112"/>
      <c r="H110" s="1114"/>
      <c r="I110" s="1116"/>
      <c r="J110" s="1118"/>
      <c r="K110" s="1112"/>
      <c r="L110" s="1056"/>
      <c r="M110" s="1100"/>
    </row>
    <row r="111" spans="1:13" ht="15" thickBot="1">
      <c r="A111" s="415" t="s">
        <v>38</v>
      </c>
      <c r="B111" s="416">
        <f>Data!L176</f>
        <v>8.6538461538461533</v>
      </c>
      <c r="C111" s="414" t="s">
        <v>39</v>
      </c>
      <c r="D111" s="417">
        <f>Data!G176/Data!K176</f>
        <v>0.65</v>
      </c>
      <c r="E111" s="1110"/>
      <c r="F111" s="1112"/>
      <c r="G111" s="1112"/>
      <c r="H111" s="1114"/>
      <c r="I111" s="1116"/>
      <c r="J111" s="1118"/>
      <c r="K111" s="1112"/>
      <c r="L111" s="1056"/>
      <c r="M111" s="1100"/>
    </row>
    <row r="112" spans="1:13" ht="15" thickBot="1">
      <c r="A112" s="437" t="s">
        <v>21</v>
      </c>
      <c r="B112" s="436">
        <f>Data!L178</f>
        <v>9.3666666666666671</v>
      </c>
      <c r="C112" s="371" t="s">
        <v>144</v>
      </c>
      <c r="D112" s="438">
        <f>Data!G178/Data!K178</f>
        <v>0.51724137931034486</v>
      </c>
      <c r="E112" s="1086">
        <f>SUM(Data!J178:J185)</f>
        <v>1458</v>
      </c>
      <c r="F112" s="1073">
        <f>SUM(Data!H178:H185)</f>
        <v>1078</v>
      </c>
      <c r="G112" s="1061">
        <f>SUM(Data!I178:I185)</f>
        <v>380</v>
      </c>
      <c r="H112" s="1102">
        <f>F112/E112</f>
        <v>0.73936899862825789</v>
      </c>
      <c r="I112" s="1104">
        <f>AVERAGE(B112:B115)</f>
        <v>9.6286645525017605</v>
      </c>
      <c r="J112" s="1106">
        <f>Data!P178/Data!O178</f>
        <v>31.8</v>
      </c>
      <c r="K112" s="1061">
        <f>E112/5</f>
        <v>291.60000000000002</v>
      </c>
      <c r="L112" s="1108">
        <f>F112/5</f>
        <v>215.6</v>
      </c>
      <c r="M112" s="1100"/>
    </row>
    <row r="113" spans="1:13">
      <c r="A113" s="371" t="s">
        <v>36</v>
      </c>
      <c r="B113" s="436">
        <f>Data!L182</f>
        <v>10.511627906976743</v>
      </c>
      <c r="C113" s="371" t="s">
        <v>39</v>
      </c>
      <c r="D113" s="438">
        <f>Data!G182/Data!K182</f>
        <v>0.75438596491228072</v>
      </c>
      <c r="E113" s="1087"/>
      <c r="F113" s="1074"/>
      <c r="G113" s="1062"/>
      <c r="H113" s="1103"/>
      <c r="I113" s="1105"/>
      <c r="J113" s="1107"/>
      <c r="K113" s="1062"/>
      <c r="L113" s="1101"/>
      <c r="M113" s="975" t="s">
        <v>228</v>
      </c>
    </row>
    <row r="114" spans="1:13">
      <c r="A114" s="371" t="s">
        <v>38</v>
      </c>
      <c r="B114" s="436">
        <f>Data!L183</f>
        <v>8.954545454545455</v>
      </c>
      <c r="C114" s="371" t="s">
        <v>39</v>
      </c>
      <c r="D114" s="438">
        <f>Data!G183/Data!K183</f>
        <v>0.5</v>
      </c>
      <c r="E114" s="1087"/>
      <c r="F114" s="1074"/>
      <c r="G114" s="1062"/>
      <c r="H114" s="1103"/>
      <c r="I114" s="1105"/>
      <c r="J114" s="1107"/>
      <c r="K114" s="1062"/>
      <c r="L114" s="1101"/>
      <c r="M114" s="976"/>
    </row>
    <row r="115" spans="1:13">
      <c r="A115" s="439" t="s">
        <v>38</v>
      </c>
      <c r="B115" s="436">
        <f>Data!L184</f>
        <v>9.6818181818181817</v>
      </c>
      <c r="C115" s="439" t="s">
        <v>39</v>
      </c>
      <c r="D115" s="438">
        <f>Data!G184/Data!K184</f>
        <v>0.57894736842105265</v>
      </c>
      <c r="E115" s="1087"/>
      <c r="F115" s="1074"/>
      <c r="G115" s="1062"/>
      <c r="H115" s="1103"/>
      <c r="I115" s="1105"/>
      <c r="J115" s="1107"/>
      <c r="K115" s="1062"/>
      <c r="L115" s="1101"/>
      <c r="M115" s="976"/>
    </row>
    <row r="116" spans="1:13" ht="15" thickBot="1">
      <c r="A116" s="439" t="s">
        <v>254</v>
      </c>
      <c r="B116" s="459">
        <f>Data!L185</f>
        <v>7.5</v>
      </c>
      <c r="C116" s="439" t="s">
        <v>39</v>
      </c>
      <c r="D116" s="460">
        <f>Data!G185/Data!K185</f>
        <v>0.80769230769230771</v>
      </c>
      <c r="E116" s="1101"/>
      <c r="F116" s="1074"/>
      <c r="G116" s="1062"/>
      <c r="H116" s="1103"/>
      <c r="I116" s="1105"/>
      <c r="J116" s="1107"/>
      <c r="K116" s="1062"/>
      <c r="L116" s="1101"/>
      <c r="M116" s="976"/>
    </row>
    <row r="117" spans="1:13">
      <c r="A117" s="458" t="s">
        <v>21</v>
      </c>
      <c r="B117" s="448">
        <f>Data!L186</f>
        <v>9.890625</v>
      </c>
      <c r="C117" s="458" t="s">
        <v>39</v>
      </c>
      <c r="D117" s="449">
        <f>Data!G186/Data!K186</f>
        <v>0.7441860465116279</v>
      </c>
      <c r="E117" s="461"/>
      <c r="F117" s="461"/>
      <c r="G117" s="461"/>
      <c r="H117" s="461"/>
      <c r="I117" s="461"/>
      <c r="J117" s="461"/>
      <c r="K117" s="461"/>
      <c r="L117" s="461"/>
      <c r="M117" s="976"/>
    </row>
    <row r="118" spans="1:13">
      <c r="A118" s="458" t="s">
        <v>23</v>
      </c>
      <c r="B118" s="448">
        <f>Data!L187</f>
        <v>8.4375</v>
      </c>
      <c r="C118" s="458" t="s">
        <v>39</v>
      </c>
      <c r="D118" s="449">
        <f>Data!G187/Data!K187</f>
        <v>0.71111111111111114</v>
      </c>
      <c r="E118" s="462"/>
      <c r="F118" s="462"/>
      <c r="G118" s="462"/>
      <c r="H118" s="462"/>
      <c r="I118" s="462"/>
      <c r="J118" s="462"/>
      <c r="K118" s="462"/>
      <c r="L118" s="462"/>
      <c r="M118" s="976"/>
    </row>
    <row r="119" spans="1:13">
      <c r="A119" s="458" t="s">
        <v>29</v>
      </c>
      <c r="B119" s="448">
        <f>Data!L188</f>
        <v>12.65</v>
      </c>
      <c r="C119" s="458" t="s">
        <v>39</v>
      </c>
      <c r="D119" s="449">
        <f>Data!G188/Data!K188</f>
        <v>0.58823529411764708</v>
      </c>
      <c r="E119" s="462"/>
      <c r="F119" s="462"/>
      <c r="G119" s="462"/>
      <c r="H119" s="462"/>
      <c r="I119" s="462"/>
      <c r="J119" s="462"/>
      <c r="K119" s="462"/>
      <c r="L119" s="462"/>
      <c r="M119" s="976"/>
    </row>
    <row r="120" spans="1:13">
      <c r="A120" s="458" t="s">
        <v>31</v>
      </c>
      <c r="B120" s="448">
        <f>Data!L189</f>
        <v>9.6071428571428577</v>
      </c>
      <c r="C120" s="458" t="s">
        <v>39</v>
      </c>
      <c r="D120" s="449">
        <f>Data!G189/Data!K189</f>
        <v>0.77777777777777779</v>
      </c>
      <c r="E120" s="462"/>
      <c r="F120" s="462"/>
      <c r="G120" s="462"/>
      <c r="H120" s="462"/>
      <c r="I120" s="462"/>
      <c r="J120" s="462"/>
      <c r="K120" s="462"/>
      <c r="L120" s="462"/>
      <c r="M120" s="976"/>
    </row>
    <row r="121" spans="1:13">
      <c r="A121" s="458" t="s">
        <v>36</v>
      </c>
      <c r="B121" s="448">
        <f>Data!L190</f>
        <v>7.8260869565217392</v>
      </c>
      <c r="C121" s="458" t="s">
        <v>39</v>
      </c>
      <c r="D121" s="449">
        <f>Data!G190/Data!K190</f>
        <v>0.76666666666666672</v>
      </c>
      <c r="E121" s="466">
        <f>SUM(Data!J186:J194)</f>
        <v>2513.5</v>
      </c>
      <c r="F121" s="466">
        <f>SUM(Data!H186:H194)</f>
        <v>1956</v>
      </c>
      <c r="G121" s="466">
        <f>SUM(Data!I186:I194)</f>
        <v>572.5</v>
      </c>
      <c r="H121" s="463">
        <f>F121/E121</f>
        <v>0.7781977322458723</v>
      </c>
      <c r="I121" s="464">
        <f>AVERAGE(B117:B125)</f>
        <v>10.511907857455201</v>
      </c>
      <c r="J121" s="465">
        <f>Data!P186/Data!O186</f>
        <v>30.75</v>
      </c>
      <c r="K121" s="466">
        <f>E121/8</f>
        <v>314.1875</v>
      </c>
      <c r="L121" s="466">
        <f>F121/8</f>
        <v>244.5</v>
      </c>
      <c r="M121" s="976"/>
    </row>
    <row r="122" spans="1:13">
      <c r="A122" s="458" t="s">
        <v>38</v>
      </c>
      <c r="B122" s="448">
        <f>Data!L191</f>
        <v>11.03448275862069</v>
      </c>
      <c r="C122" s="458" t="s">
        <v>39</v>
      </c>
      <c r="D122" s="449">
        <f>Data!G191/Data!K191</f>
        <v>0.80555555555555558</v>
      </c>
      <c r="E122" s="462"/>
      <c r="F122" s="462"/>
      <c r="G122" s="462"/>
      <c r="H122" s="462"/>
      <c r="I122" s="462"/>
      <c r="J122" s="462"/>
      <c r="K122" s="462"/>
      <c r="L122" s="466"/>
      <c r="M122" s="976"/>
    </row>
    <row r="123" spans="1:13">
      <c r="A123" s="471"/>
      <c r="B123" s="473"/>
      <c r="C123" s="474" t="s">
        <v>92</v>
      </c>
      <c r="D123" s="475"/>
      <c r="E123" s="462"/>
      <c r="F123" s="462"/>
      <c r="G123" s="462"/>
      <c r="H123" s="462"/>
      <c r="I123" s="462"/>
      <c r="J123" s="462"/>
      <c r="K123" s="462"/>
      <c r="L123" s="462"/>
      <c r="M123" s="976"/>
    </row>
    <row r="124" spans="1:13">
      <c r="A124" s="458" t="s">
        <v>41</v>
      </c>
      <c r="B124" s="448">
        <f>Data!L193</f>
        <v>10.166666666666666</v>
      </c>
      <c r="C124" s="458" t="s">
        <v>39</v>
      </c>
      <c r="D124" s="449">
        <f>Data!G193/Data!K193</f>
        <v>0.83333333333333337</v>
      </c>
      <c r="E124" s="462"/>
      <c r="F124" s="462"/>
      <c r="G124" s="462"/>
      <c r="H124" s="462"/>
      <c r="I124" s="462"/>
      <c r="J124" s="462"/>
      <c r="K124" s="462"/>
      <c r="L124" s="462"/>
      <c r="M124" s="976"/>
    </row>
    <row r="125" spans="1:13" ht="15" thickBot="1">
      <c r="A125" s="458" t="s">
        <v>41</v>
      </c>
      <c r="B125" s="448">
        <f>Data!L194</f>
        <v>14.482758620689655</v>
      </c>
      <c r="C125" s="458" t="s">
        <v>39</v>
      </c>
      <c r="D125" s="449">
        <f>Data!G194/Data!K194</f>
        <v>0.63043478260869568</v>
      </c>
      <c r="E125" s="462"/>
      <c r="F125" s="462"/>
      <c r="G125" s="462"/>
      <c r="H125" s="462"/>
      <c r="I125" s="462"/>
      <c r="J125" s="462"/>
      <c r="K125" s="462"/>
      <c r="L125" s="462"/>
      <c r="M125" s="976"/>
    </row>
    <row r="126" spans="1:13">
      <c r="A126" s="477" t="s">
        <v>21</v>
      </c>
      <c r="B126" s="478">
        <f>Data!L195</f>
        <v>8</v>
      </c>
      <c r="C126" s="477" t="s">
        <v>39</v>
      </c>
      <c r="D126" s="479">
        <f>Data!G195/Data!K195</f>
        <v>0.7931034482758621</v>
      </c>
      <c r="E126" s="1051">
        <f>SUM(Data!J195:J202)</f>
        <v>1533</v>
      </c>
      <c r="F126" s="1051">
        <f>SUM(Data!H195:H202)</f>
        <v>1153</v>
      </c>
      <c r="G126" s="1051">
        <f>SUM(Data!I195:I202)</f>
        <v>380</v>
      </c>
      <c r="H126" s="1090">
        <f>F126/E126</f>
        <v>0.75212002609262885</v>
      </c>
      <c r="I126" s="1092">
        <f>AVERAGE(B126:B130)</f>
        <v>10.039502164502164</v>
      </c>
      <c r="J126" s="1094">
        <f>Data!P195/Data!O195</f>
        <v>31.8</v>
      </c>
      <c r="K126" s="1051">
        <f>E126/5</f>
        <v>306.60000000000002</v>
      </c>
      <c r="L126" s="1051">
        <f>F126/5</f>
        <v>230.6</v>
      </c>
      <c r="M126" s="976"/>
    </row>
    <row r="127" spans="1:13">
      <c r="A127" s="477" t="s">
        <v>29</v>
      </c>
      <c r="B127" s="482">
        <f>Data!L197</f>
        <v>7.666666666666667</v>
      </c>
      <c r="C127" s="477" t="s">
        <v>39</v>
      </c>
      <c r="D127" s="483">
        <f>Data!G197/Data!K197</f>
        <v>0.83333333333333337</v>
      </c>
      <c r="E127" s="1052"/>
      <c r="F127" s="1052"/>
      <c r="G127" s="1052"/>
      <c r="H127" s="1091"/>
      <c r="I127" s="1093"/>
      <c r="J127" s="1095"/>
      <c r="K127" s="1052"/>
      <c r="L127" s="1052"/>
      <c r="M127" s="976"/>
    </row>
    <row r="128" spans="1:13">
      <c r="A128" s="481" t="s">
        <v>38</v>
      </c>
      <c r="B128" s="478">
        <f>Data!L200</f>
        <v>10.375</v>
      </c>
      <c r="C128" s="481" t="s">
        <v>39</v>
      </c>
      <c r="D128" s="479">
        <f>Data!G200/Data!K200</f>
        <v>0.72727272727272729</v>
      </c>
      <c r="E128" s="1052"/>
      <c r="F128" s="1052"/>
      <c r="G128" s="1052"/>
      <c r="H128" s="1091"/>
      <c r="I128" s="1093"/>
      <c r="J128" s="1095"/>
      <c r="K128" s="1052"/>
      <c r="L128" s="1052"/>
      <c r="M128" s="976"/>
    </row>
    <row r="129" spans="1:13">
      <c r="A129" s="481" t="s">
        <v>38</v>
      </c>
      <c r="B129" s="478">
        <f>Data!L201</f>
        <v>11.428571428571429</v>
      </c>
      <c r="C129" s="481" t="s">
        <v>39</v>
      </c>
      <c r="D129" s="479">
        <f>Data!G201/Data!K201</f>
        <v>0.35</v>
      </c>
      <c r="E129" s="1052"/>
      <c r="F129" s="1052"/>
      <c r="G129" s="1052"/>
      <c r="H129" s="1091"/>
      <c r="I129" s="1093"/>
      <c r="J129" s="1095"/>
      <c r="K129" s="1052"/>
      <c r="L129" s="1052"/>
      <c r="M129" s="976"/>
    </row>
    <row r="130" spans="1:13" ht="15" thickBot="1">
      <c r="A130" s="481" t="s">
        <v>41</v>
      </c>
      <c r="B130" s="478">
        <f>Data!L202</f>
        <v>12.727272727272727</v>
      </c>
      <c r="C130" s="481" t="s">
        <v>39</v>
      </c>
      <c r="D130" s="479">
        <f>Data!G202/Data!K202</f>
        <v>0.45833333333333331</v>
      </c>
      <c r="E130" s="1052"/>
      <c r="F130" s="1052"/>
      <c r="G130" s="1052"/>
      <c r="H130" s="1091"/>
      <c r="I130" s="1093"/>
      <c r="J130" s="1095"/>
      <c r="K130" s="1052"/>
      <c r="L130" s="1052"/>
      <c r="M130" s="976"/>
    </row>
    <row r="131" spans="1:13">
      <c r="A131" s="403" t="s">
        <v>23</v>
      </c>
      <c r="B131" s="495">
        <f>Data!L204</f>
        <v>9.0625</v>
      </c>
      <c r="C131" s="403" t="s">
        <v>39</v>
      </c>
      <c r="D131" s="496">
        <f>Data!G204/Data!K204</f>
        <v>0.5714285714285714</v>
      </c>
      <c r="E131" s="1063">
        <f>SUM(Data!J204:J211)</f>
        <v>1405</v>
      </c>
      <c r="F131" s="1063">
        <f>SUM(Data!H204:H211)</f>
        <v>1127.5</v>
      </c>
      <c r="G131" s="1063">
        <f>SUM(Data!I204:I211)</f>
        <v>277.5</v>
      </c>
      <c r="H131" s="1065">
        <f>F131/E131</f>
        <v>0.802491103202847</v>
      </c>
      <c r="I131" s="1067">
        <f>AVERAGE(B131:B135)</f>
        <v>10.168422098569158</v>
      </c>
      <c r="J131" s="1071">
        <f>Data!P203/Data!O203</f>
        <v>27</v>
      </c>
      <c r="K131" s="1069">
        <f>E131/5</f>
        <v>281</v>
      </c>
      <c r="L131" s="1076">
        <f>F131/5</f>
        <v>225.5</v>
      </c>
      <c r="M131" s="976"/>
    </row>
    <row r="132" spans="1:13">
      <c r="A132" s="403" t="s">
        <v>38</v>
      </c>
      <c r="B132" s="495">
        <f>Data!L208</f>
        <v>10.833333333333334</v>
      </c>
      <c r="C132" s="403" t="s">
        <v>39</v>
      </c>
      <c r="D132" s="496">
        <f>Data!G208/Data!K208</f>
        <v>0.88888888888888884</v>
      </c>
      <c r="E132" s="1064"/>
      <c r="F132" s="1064"/>
      <c r="G132" s="1064"/>
      <c r="H132" s="1066"/>
      <c r="I132" s="1068"/>
      <c r="J132" s="1072"/>
      <c r="K132" s="1070"/>
      <c r="L132" s="1077"/>
      <c r="M132" s="976"/>
    </row>
    <row r="133" spans="1:13">
      <c r="A133" s="403" t="s">
        <v>38</v>
      </c>
      <c r="B133" s="495">
        <f>Data!L209</f>
        <v>11.323529411764707</v>
      </c>
      <c r="C133" s="403" t="s">
        <v>39</v>
      </c>
      <c r="D133" s="496">
        <f>Data!G209/Data!K209</f>
        <v>0.56666666666666665</v>
      </c>
      <c r="E133" s="1064"/>
      <c r="F133" s="1064"/>
      <c r="G133" s="1064"/>
      <c r="H133" s="1066"/>
      <c r="I133" s="1068"/>
      <c r="J133" s="1072"/>
      <c r="K133" s="1070"/>
      <c r="L133" s="1077"/>
      <c r="M133" s="976"/>
    </row>
    <row r="134" spans="1:13">
      <c r="A134" s="403" t="s">
        <v>41</v>
      </c>
      <c r="B134" s="495">
        <f>Data!L210</f>
        <v>8.5416666666666661</v>
      </c>
      <c r="C134" s="403" t="s">
        <v>39</v>
      </c>
      <c r="D134" s="496">
        <f>Data!G210/Data!K210</f>
        <v>0.88888888888888884</v>
      </c>
      <c r="E134" s="1064"/>
      <c r="F134" s="1064"/>
      <c r="G134" s="1064"/>
      <c r="H134" s="1066"/>
      <c r="I134" s="1068"/>
      <c r="J134" s="1072"/>
      <c r="K134" s="1070"/>
      <c r="L134" s="1077"/>
      <c r="M134" s="976"/>
    </row>
    <row r="135" spans="1:13" ht="15" thickBot="1">
      <c r="A135" s="403" t="s">
        <v>41</v>
      </c>
      <c r="B135" s="519">
        <f>Data!L211</f>
        <v>11.081081081081081</v>
      </c>
      <c r="C135" s="403" t="s">
        <v>39</v>
      </c>
      <c r="D135" s="520">
        <f>Data!G211/Data!K211</f>
        <v>0.6166666666666667</v>
      </c>
      <c r="E135" s="1064"/>
      <c r="F135" s="1064"/>
      <c r="G135" s="1064"/>
      <c r="H135" s="1066"/>
      <c r="I135" s="1068"/>
      <c r="J135" s="1072"/>
      <c r="K135" s="1070"/>
      <c r="L135" s="1077"/>
      <c r="M135" s="976"/>
    </row>
    <row r="136" spans="1:13">
      <c r="A136" s="371" t="s">
        <v>21</v>
      </c>
      <c r="B136" s="436">
        <f>Data!L212</f>
        <v>13.545454545454545</v>
      </c>
      <c r="C136" s="371" t="s">
        <v>39</v>
      </c>
      <c r="D136" s="518">
        <f>Data!G212/Data!K212</f>
        <v>0.61111111111111116</v>
      </c>
      <c r="E136" s="1061">
        <f>SUM(Data!J212:J219)</f>
        <v>1630.5</v>
      </c>
      <c r="F136" s="1073">
        <f>SUM(Data!H212:H219)</f>
        <v>1255.5</v>
      </c>
      <c r="G136" s="1073">
        <f>SUM(Data!I212:I219)</f>
        <v>375</v>
      </c>
      <c r="H136" s="1080">
        <f>F136/E136</f>
        <v>0.77000919963201475</v>
      </c>
      <c r="I136" s="1082">
        <f>AVERAGE(B136:B141)</f>
        <v>11.056096091635306</v>
      </c>
      <c r="J136" s="1084">
        <f>Data!P212/Data!O212</f>
        <v>25.666666666666668</v>
      </c>
      <c r="K136" s="1086">
        <f>E136/6</f>
        <v>271.75</v>
      </c>
      <c r="L136" s="1086">
        <f>F136/6</f>
        <v>209.25</v>
      </c>
      <c r="M136" s="976"/>
    </row>
    <row r="137" spans="1:13">
      <c r="A137" s="371" t="s">
        <v>23</v>
      </c>
      <c r="B137" s="436">
        <f>Data!L213</f>
        <v>8.25</v>
      </c>
      <c r="C137" s="371" t="s">
        <v>39</v>
      </c>
      <c r="D137" s="518">
        <f>Data!G213/Data!K213</f>
        <v>0.66666666666666663</v>
      </c>
      <c r="E137" s="1062"/>
      <c r="F137" s="1074"/>
      <c r="G137" s="1074"/>
      <c r="H137" s="1081"/>
      <c r="I137" s="1083"/>
      <c r="J137" s="1085"/>
      <c r="K137" s="1087"/>
      <c r="L137" s="1087"/>
      <c r="M137" s="976"/>
    </row>
    <row r="138" spans="1:13" ht="15" thickBot="1">
      <c r="A138" s="371" t="s">
        <v>31</v>
      </c>
      <c r="B138" s="436">
        <f>Data!L215</f>
        <v>7.916666666666667</v>
      </c>
      <c r="C138" s="371" t="s">
        <v>39</v>
      </c>
      <c r="D138" s="518">
        <f>Data!G215/Data!K215</f>
        <v>0.5714285714285714</v>
      </c>
      <c r="E138" s="1062"/>
      <c r="F138" s="1074"/>
      <c r="G138" s="1074"/>
      <c r="H138" s="1081"/>
      <c r="I138" s="1083"/>
      <c r="J138" s="1085"/>
      <c r="K138" s="1087"/>
      <c r="L138" s="1087"/>
      <c r="M138" s="976"/>
    </row>
    <row r="139" spans="1:13">
      <c r="A139" s="371" t="s">
        <v>38</v>
      </c>
      <c r="B139" s="436">
        <f>Data!L217</f>
        <v>10.092592592592593</v>
      </c>
      <c r="C139" s="371" t="s">
        <v>39</v>
      </c>
      <c r="D139" s="518">
        <f>Data!G217/Data!K217</f>
        <v>0.62790697674418605</v>
      </c>
      <c r="E139" s="1062"/>
      <c r="F139" s="1074"/>
      <c r="G139" s="1074"/>
      <c r="H139" s="1081"/>
      <c r="I139" s="1083"/>
      <c r="J139" s="1085"/>
      <c r="K139" s="1087"/>
      <c r="L139" s="1087"/>
      <c r="M139" s="1006" t="s">
        <v>230</v>
      </c>
    </row>
    <row r="140" spans="1:13">
      <c r="A140" s="371" t="s">
        <v>41</v>
      </c>
      <c r="B140" s="436">
        <f>Data!L218</f>
        <v>13.823529411764707</v>
      </c>
      <c r="C140" s="371" t="s">
        <v>39</v>
      </c>
      <c r="D140" s="518">
        <f>Data!G218/Data!K218</f>
        <v>0.70833333333333337</v>
      </c>
      <c r="E140" s="1062"/>
      <c r="F140" s="1074"/>
      <c r="G140" s="1074"/>
      <c r="H140" s="1081"/>
      <c r="I140" s="1083"/>
      <c r="J140" s="1085"/>
      <c r="K140" s="1087"/>
      <c r="L140" s="1087"/>
      <c r="M140" s="1007"/>
    </row>
    <row r="141" spans="1:13" ht="15" thickBot="1">
      <c r="A141" s="439" t="s">
        <v>41</v>
      </c>
      <c r="B141" s="459">
        <f>Data!L219</f>
        <v>12.708333333333334</v>
      </c>
      <c r="C141" s="439" t="s">
        <v>39</v>
      </c>
      <c r="D141" s="518">
        <f>Data!G219/Data!K219</f>
        <v>0.4</v>
      </c>
      <c r="E141" s="1062"/>
      <c r="F141" s="1075"/>
      <c r="G141" s="1075"/>
      <c r="H141" s="1081"/>
      <c r="I141" s="1083"/>
      <c r="J141" s="1085"/>
      <c r="K141" s="1087"/>
      <c r="L141" s="1087"/>
      <c r="M141" s="1007"/>
    </row>
    <row r="142" spans="1:13">
      <c r="A142" s="458" t="s">
        <v>21</v>
      </c>
      <c r="B142" s="448">
        <f>Data!L220</f>
        <v>8.1666666666666661</v>
      </c>
      <c r="C142" s="458" t="s">
        <v>144</v>
      </c>
      <c r="D142" s="525">
        <f>Data!G220/Data!K220</f>
        <v>0.54545454545454541</v>
      </c>
      <c r="E142" s="1019">
        <f>SUM(Data!J220:J228)</f>
        <v>1397.5</v>
      </c>
      <c r="F142" s="1019">
        <f>SUM(Data!H220:H228)</f>
        <v>1102.5</v>
      </c>
      <c r="G142" s="1019">
        <f>SUM(Data!I220:I228)</f>
        <v>252.5</v>
      </c>
      <c r="H142" s="1023">
        <f>F142/E142</f>
        <v>0.78890876565295165</v>
      </c>
      <c r="I142" s="1025">
        <f>AVERAGE(B142:B147)</f>
        <v>9.5559275459950115</v>
      </c>
      <c r="J142" s="1053">
        <f>Data!P220/Data!O220</f>
        <v>24.166666666666668</v>
      </c>
      <c r="K142" s="1021">
        <f>E142/6</f>
        <v>232.91666666666666</v>
      </c>
      <c r="L142" s="1021">
        <f>F142/6</f>
        <v>183.75</v>
      </c>
      <c r="M142" s="1007"/>
    </row>
    <row r="143" spans="1:13">
      <c r="A143" s="458" t="s">
        <v>23</v>
      </c>
      <c r="B143" s="448">
        <f>Data!L221</f>
        <v>9.8888888888888893</v>
      </c>
      <c r="C143" s="458" t="s">
        <v>39</v>
      </c>
      <c r="D143" s="525">
        <f>Data!G221/Data!K221</f>
        <v>0.94736842105263153</v>
      </c>
      <c r="E143" s="1020"/>
      <c r="F143" s="1020"/>
      <c r="G143" s="1020"/>
      <c r="H143" s="1024"/>
      <c r="I143" s="1026"/>
      <c r="J143" s="1054"/>
      <c r="K143" s="1022"/>
      <c r="L143" s="1022"/>
      <c r="M143" s="1007"/>
    </row>
    <row r="144" spans="1:13">
      <c r="A144" s="458" t="s">
        <v>29</v>
      </c>
      <c r="B144" s="448">
        <f>Data!L222</f>
        <v>8.3076923076923084</v>
      </c>
      <c r="C144" s="458" t="s">
        <v>39</v>
      </c>
      <c r="D144" s="525">
        <f>Data!G222/Data!K222</f>
        <v>0.39393939393939392</v>
      </c>
      <c r="E144" s="1020"/>
      <c r="F144" s="1020"/>
      <c r="G144" s="1020"/>
      <c r="H144" s="1024"/>
      <c r="I144" s="1026"/>
      <c r="J144" s="1054"/>
      <c r="K144" s="1022"/>
      <c r="L144" s="1022"/>
      <c r="M144" s="1007"/>
    </row>
    <row r="145" spans="1:13">
      <c r="A145" s="458" t="s">
        <v>36</v>
      </c>
      <c r="B145" s="448">
        <f>Data!L224</f>
        <v>10.862068965517242</v>
      </c>
      <c r="C145" s="458" t="s">
        <v>39</v>
      </c>
      <c r="D145" s="525">
        <f>Data!G224/Data!K224</f>
        <v>0.80555555555555558</v>
      </c>
      <c r="E145" s="1020"/>
      <c r="F145" s="1020"/>
      <c r="G145" s="1020"/>
      <c r="H145" s="1024"/>
      <c r="I145" s="1026"/>
      <c r="J145" s="1054"/>
      <c r="K145" s="1022"/>
      <c r="L145" s="1022"/>
      <c r="M145" s="1007"/>
    </row>
    <row r="146" spans="1:13">
      <c r="A146" s="458" t="s">
        <v>38</v>
      </c>
      <c r="B146" s="448">
        <f>Data!L225</f>
        <v>10.217391304347826</v>
      </c>
      <c r="C146" s="458" t="s">
        <v>39</v>
      </c>
      <c r="D146" s="525">
        <f>Data!G225/Data!K225</f>
        <v>0.6216216216216216</v>
      </c>
      <c r="E146" s="1020"/>
      <c r="F146" s="1020"/>
      <c r="G146" s="1020"/>
      <c r="H146" s="1024"/>
      <c r="I146" s="1026"/>
      <c r="J146" s="1054"/>
      <c r="K146" s="1022"/>
      <c r="L146" s="1022"/>
      <c r="M146" s="1007"/>
    </row>
    <row r="147" spans="1:13" ht="15" thickBot="1">
      <c r="A147" s="551" t="s">
        <v>41</v>
      </c>
      <c r="B147" s="552">
        <f>Data!L227</f>
        <v>9.8928571428571423</v>
      </c>
      <c r="C147" s="551" t="s">
        <v>39</v>
      </c>
      <c r="D147" s="553">
        <f>Data!G227/Data!K227</f>
        <v>0.875</v>
      </c>
      <c r="E147" s="1020"/>
      <c r="F147" s="1020"/>
      <c r="G147" s="1020"/>
      <c r="H147" s="1024"/>
      <c r="I147" s="1026"/>
      <c r="J147" s="1054"/>
      <c r="K147" s="1022"/>
      <c r="L147" s="1022"/>
      <c r="M147" s="1007"/>
    </row>
    <row r="148" spans="1:13">
      <c r="A148" s="481" t="s">
        <v>21</v>
      </c>
      <c r="B148" s="478">
        <f>Data!L229</f>
        <v>12.608695652173912</v>
      </c>
      <c r="C148" s="481" t="s">
        <v>39</v>
      </c>
      <c r="D148" s="479">
        <f>Data!G229/Data!K229</f>
        <v>0.69696969696969702</v>
      </c>
      <c r="E148" s="1280">
        <f>SUM(Data!J229:J237)</f>
        <v>1822</v>
      </c>
      <c r="F148" s="1274">
        <f>SUM(Data!H229:H237)</f>
        <v>1419.5</v>
      </c>
      <c r="G148" s="1274">
        <f>SUM(Data!I229:I237)</f>
        <v>402.5</v>
      </c>
      <c r="H148" s="1017">
        <f>F148/E148</f>
        <v>0.77908891328210761</v>
      </c>
      <c r="I148" s="1278">
        <f>AVERAGE(B148:B155)</f>
        <v>10.511351370047022</v>
      </c>
      <c r="J148" s="1276">
        <f>Data!P229/7</f>
        <v>25</v>
      </c>
      <c r="K148" s="1274">
        <f>E148/7</f>
        <v>260.28571428571428</v>
      </c>
      <c r="L148" s="1272">
        <f>F148/7</f>
        <v>202.78571428571428</v>
      </c>
      <c r="M148" s="1007"/>
    </row>
    <row r="149" spans="1:13">
      <c r="A149" s="481" t="s">
        <v>21</v>
      </c>
      <c r="B149" s="478">
        <f>Data!L230</f>
        <v>12.423076923076923</v>
      </c>
      <c r="C149" s="481" t="s">
        <v>39</v>
      </c>
      <c r="D149" s="479">
        <f>Data!G230/Data!K230</f>
        <v>0.65</v>
      </c>
      <c r="E149" s="1281"/>
      <c r="F149" s="1275"/>
      <c r="G149" s="1275"/>
      <c r="H149" s="1018"/>
      <c r="I149" s="1279"/>
      <c r="J149" s="1277"/>
      <c r="K149" s="1275"/>
      <c r="L149" s="1273"/>
      <c r="M149" s="1007"/>
    </row>
    <row r="150" spans="1:13">
      <c r="A150" s="481" t="s">
        <v>23</v>
      </c>
      <c r="B150" s="478">
        <f>Data!L231</f>
        <v>11.043478260869565</v>
      </c>
      <c r="C150" s="481" t="s">
        <v>39</v>
      </c>
      <c r="D150" s="479">
        <f>Data!G231/Data!K231</f>
        <v>0.53488372093023251</v>
      </c>
      <c r="E150" s="1281"/>
      <c r="F150" s="1275"/>
      <c r="G150" s="1275"/>
      <c r="H150" s="1018"/>
      <c r="I150" s="1279"/>
      <c r="J150" s="1277"/>
      <c r="K150" s="1275"/>
      <c r="L150" s="1273"/>
      <c r="M150" s="1007"/>
    </row>
    <row r="151" spans="1:13">
      <c r="A151" s="481" t="s">
        <v>29</v>
      </c>
      <c r="B151" s="478">
        <f>Data!L232</f>
        <v>8.3333333333333339</v>
      </c>
      <c r="C151" s="481" t="s">
        <v>39</v>
      </c>
      <c r="D151" s="479">
        <f>Data!G232/Data!K232</f>
        <v>0.81081081081081086</v>
      </c>
      <c r="E151" s="1281"/>
      <c r="F151" s="1275"/>
      <c r="G151" s="1275"/>
      <c r="H151" s="1018"/>
      <c r="I151" s="1279"/>
      <c r="J151" s="1277"/>
      <c r="K151" s="1275"/>
      <c r="L151" s="1273"/>
      <c r="M151" s="1007"/>
    </row>
    <row r="152" spans="1:13">
      <c r="A152" s="481" t="s">
        <v>31</v>
      </c>
      <c r="B152" s="478">
        <f>Data!L233</f>
        <v>7.8148148148148149</v>
      </c>
      <c r="C152" s="481" t="s">
        <v>39</v>
      </c>
      <c r="D152" s="479">
        <f>Data!G233/Data!K233</f>
        <v>0.75</v>
      </c>
      <c r="E152" s="1281"/>
      <c r="F152" s="1275"/>
      <c r="G152" s="1275"/>
      <c r="H152" s="1018"/>
      <c r="I152" s="1279"/>
      <c r="J152" s="1277"/>
      <c r="K152" s="1275"/>
      <c r="L152" s="1273"/>
      <c r="M152" s="1007"/>
    </row>
    <row r="153" spans="1:13">
      <c r="A153" s="481" t="s">
        <v>38</v>
      </c>
      <c r="B153" s="478">
        <f>Data!L236</f>
        <v>12.083333333333334</v>
      </c>
      <c r="C153" s="481" t="s">
        <v>144</v>
      </c>
      <c r="D153" s="479">
        <f>Data!G236/Data!K236</f>
        <v>0.54545454545454541</v>
      </c>
      <c r="E153" s="1281"/>
      <c r="F153" s="1275"/>
      <c r="G153" s="1275"/>
      <c r="H153" s="1018"/>
      <c r="I153" s="1279"/>
      <c r="J153" s="1277"/>
      <c r="K153" s="1275"/>
      <c r="L153" s="1273"/>
      <c r="M153" s="1007"/>
    </row>
    <row r="154" spans="1:13">
      <c r="A154" s="481" t="s">
        <v>41</v>
      </c>
      <c r="B154" s="478">
        <f>Data!L237</f>
        <v>9.2727272727272734</v>
      </c>
      <c r="C154" s="481" t="s">
        <v>39</v>
      </c>
      <c r="D154" s="479">
        <f>Data!G237/Data!K237</f>
        <v>0.55000000000000004</v>
      </c>
      <c r="E154" s="1281"/>
      <c r="F154" s="1275"/>
      <c r="G154" s="1275"/>
      <c r="H154" s="1018"/>
      <c r="I154" s="1279"/>
      <c r="J154" s="1277"/>
      <c r="K154" s="1275"/>
      <c r="L154" s="1273"/>
      <c r="M154" s="1007"/>
    </row>
    <row r="155" spans="1:13" ht="15">
      <c r="A155" s="558"/>
      <c r="B155" s="482"/>
      <c r="C155" s="558"/>
      <c r="D155" s="559"/>
      <c r="E155" s="1281"/>
      <c r="F155" s="1275"/>
      <c r="G155" s="1275"/>
      <c r="H155" s="1018"/>
      <c r="I155" s="1279"/>
      <c r="J155" s="1277"/>
      <c r="K155" s="1275"/>
      <c r="L155" s="1273"/>
      <c r="M155" s="1007"/>
    </row>
    <row r="156" spans="1:13" ht="15">
      <c r="A156" s="641" t="s">
        <v>21</v>
      </c>
      <c r="B156" s="642">
        <f>Data!L238</f>
        <v>10.424242424242424</v>
      </c>
      <c r="C156" s="643" t="s">
        <v>39</v>
      </c>
      <c r="D156" s="644">
        <f>Data!G238/Data!K238</f>
        <v>0.73333333333333328</v>
      </c>
      <c r="E156" s="1055">
        <f>SUM(Data!J238:J245)</f>
        <v>1702</v>
      </c>
      <c r="F156" s="1027">
        <f>SUM(Data!H238:H245)</f>
        <v>1391.5</v>
      </c>
      <c r="G156" s="1027">
        <f>SUM(Data!I238:I245)</f>
        <v>312.5</v>
      </c>
      <c r="H156" s="1057">
        <f>F156/E156</f>
        <v>0.81756756756756754</v>
      </c>
      <c r="I156" s="1027">
        <f>AVERAGE(B156:B163)</f>
        <v>10.59621904668789</v>
      </c>
      <c r="J156" s="1059">
        <f>Data!P238/6</f>
        <v>24.333333333333332</v>
      </c>
      <c r="K156" s="1027">
        <f>E156/6</f>
        <v>283.66666666666669</v>
      </c>
      <c r="L156" s="1027">
        <f>F156/6</f>
        <v>231.91666666666666</v>
      </c>
      <c r="M156" s="1007"/>
    </row>
    <row r="157" spans="1:13" ht="15">
      <c r="A157" s="645" t="s">
        <v>23</v>
      </c>
      <c r="B157" s="495">
        <f>Data!L239</f>
        <v>10.413793103448276</v>
      </c>
      <c r="C157" s="486" t="s">
        <v>39</v>
      </c>
      <c r="D157" s="646">
        <f>Data!G239/Data!K239</f>
        <v>0.72499999999999998</v>
      </c>
      <c r="E157" s="1056"/>
      <c r="F157" s="1028"/>
      <c r="G157" s="1028"/>
      <c r="H157" s="1058"/>
      <c r="I157" s="1028"/>
      <c r="J157" s="1060"/>
      <c r="K157" s="1028"/>
      <c r="L157" s="1028"/>
      <c r="M157" s="1007"/>
    </row>
    <row r="158" spans="1:13" ht="15">
      <c r="A158" s="645" t="s">
        <v>29</v>
      </c>
      <c r="B158" s="495">
        <f>Data!L240</f>
        <v>9.5277777777777786</v>
      </c>
      <c r="C158" s="486" t="s">
        <v>150</v>
      </c>
      <c r="D158" s="646">
        <f>Data!G240/Data!K240</f>
        <v>0.66666666666666663</v>
      </c>
      <c r="E158" s="1056"/>
      <c r="F158" s="1028"/>
      <c r="G158" s="1028"/>
      <c r="H158" s="1058"/>
      <c r="I158" s="1028"/>
      <c r="J158" s="1060"/>
      <c r="K158" s="1028"/>
      <c r="L158" s="1028"/>
      <c r="M158" s="1007"/>
    </row>
    <row r="159" spans="1:13" ht="15">
      <c r="A159" s="645" t="s">
        <v>36</v>
      </c>
      <c r="B159" s="569">
        <f>Data!L242</f>
        <v>12.018518518518519</v>
      </c>
      <c r="C159" s="486" t="s">
        <v>39</v>
      </c>
      <c r="D159" s="646">
        <f>Data!G242/Data!K242</f>
        <v>0.9</v>
      </c>
      <c r="E159" s="1056"/>
      <c r="F159" s="1028"/>
      <c r="G159" s="1028"/>
      <c r="H159" s="1058"/>
      <c r="I159" s="1028"/>
      <c r="J159" s="1060"/>
      <c r="K159" s="1028"/>
      <c r="L159" s="1028"/>
      <c r="M159" s="1007"/>
    </row>
    <row r="160" spans="1:13" ht="15">
      <c r="A160" s="645" t="s">
        <v>38</v>
      </c>
      <c r="B160" s="569">
        <f>Data!L243</f>
        <v>10.666666666666666</v>
      </c>
      <c r="C160" s="486" t="s">
        <v>144</v>
      </c>
      <c r="D160" s="646">
        <f>Data!G243/Data!K243</f>
        <v>0.38461538461538464</v>
      </c>
      <c r="E160" s="1056"/>
      <c r="F160" s="1028"/>
      <c r="G160" s="1028"/>
      <c r="H160" s="1058"/>
      <c r="I160" s="1028"/>
      <c r="J160" s="1060"/>
      <c r="K160" s="1028"/>
      <c r="L160" s="1028"/>
      <c r="M160" s="1007"/>
    </row>
    <row r="161" spans="1:13" ht="15">
      <c r="A161" s="645" t="s">
        <v>41</v>
      </c>
      <c r="B161" s="569">
        <f>Data!L244</f>
        <v>10.526315789473685</v>
      </c>
      <c r="C161" s="486" t="s">
        <v>39</v>
      </c>
      <c r="D161" s="646">
        <f>Data!G244/Data!K244</f>
        <v>0.61538461538461542</v>
      </c>
      <c r="E161" s="1056"/>
      <c r="F161" s="1028"/>
      <c r="G161" s="1028"/>
      <c r="H161" s="1058"/>
      <c r="I161" s="1028"/>
      <c r="J161" s="1060"/>
      <c r="K161" s="1028"/>
      <c r="L161" s="1028"/>
      <c r="M161" s="1007"/>
    </row>
    <row r="162" spans="1:13" ht="15">
      <c r="A162" s="645"/>
      <c r="B162" s="486"/>
      <c r="C162" s="486"/>
      <c r="D162" s="647"/>
      <c r="E162" s="1056"/>
      <c r="F162" s="1028"/>
      <c r="G162" s="1028"/>
      <c r="H162" s="1058"/>
      <c r="I162" s="1028"/>
      <c r="J162" s="1060"/>
      <c r="K162" s="1028"/>
      <c r="L162" s="1028"/>
      <c r="M162" s="1007"/>
    </row>
    <row r="163" spans="1:13" ht="15">
      <c r="A163" s="648"/>
      <c r="B163" s="649"/>
      <c r="C163" s="649"/>
      <c r="D163" s="650"/>
      <c r="E163" s="1056"/>
      <c r="F163" s="1028"/>
      <c r="G163" s="1028"/>
      <c r="H163" s="1058"/>
      <c r="I163" s="1028"/>
      <c r="J163" s="1060"/>
      <c r="K163" s="1028"/>
      <c r="L163" s="1028"/>
      <c r="M163" s="1007"/>
    </row>
    <row r="164" spans="1:13" ht="15">
      <c r="A164" s="651" t="s">
        <v>21</v>
      </c>
      <c r="B164" s="652">
        <f>Data!L246</f>
        <v>10.526315789473685</v>
      </c>
      <c r="C164" s="651" t="s">
        <v>39</v>
      </c>
      <c r="D164" s="653">
        <f>Data!G246/Data!K246</f>
        <v>0.82758620689655171</v>
      </c>
      <c r="E164" s="1009">
        <f>SUM(Data!J246:J252)</f>
        <v>854.5</v>
      </c>
      <c r="F164" s="1009">
        <f>SUM(Data!H246:H252)</f>
        <v>667</v>
      </c>
      <c r="G164" s="1009">
        <f>SUM(Data!I246:I252)</f>
        <v>187.5</v>
      </c>
      <c r="H164" s="1011">
        <f>F164/E164</f>
        <v>0.78057343475716789</v>
      </c>
      <c r="I164" s="1009">
        <f>AVERAGE(B164:B167)</f>
        <v>10.701023391812866</v>
      </c>
      <c r="J164" s="1013">
        <f>Data!P246/4</f>
        <v>21.25</v>
      </c>
      <c r="K164" s="1009">
        <f>E164/4</f>
        <v>213.625</v>
      </c>
      <c r="L164" s="1015">
        <f>F164/4</f>
        <v>166.75</v>
      </c>
      <c r="M164" s="1008"/>
    </row>
    <row r="165" spans="1:13">
      <c r="A165" s="584" t="s">
        <v>31</v>
      </c>
      <c r="B165" s="585">
        <f>Data!L249</f>
        <v>8</v>
      </c>
      <c r="C165" s="584" t="s">
        <v>144</v>
      </c>
      <c r="D165" s="586">
        <f>Data!G249/Data!K249</f>
        <v>0.69444444444444442</v>
      </c>
      <c r="E165" s="1010"/>
      <c r="F165" s="1010"/>
      <c r="G165" s="1010"/>
      <c r="H165" s="1012"/>
      <c r="I165" s="1010"/>
      <c r="J165" s="1014"/>
      <c r="K165" s="1010"/>
      <c r="L165" s="1016"/>
      <c r="M165" s="1008"/>
    </row>
    <row r="166" spans="1:13">
      <c r="A166" s="584" t="s">
        <v>38</v>
      </c>
      <c r="B166" s="585">
        <f>Data!L251</f>
        <v>13.611111111111111</v>
      </c>
      <c r="C166" s="584" t="s">
        <v>39</v>
      </c>
      <c r="D166" s="586">
        <f>Data!G251/Data!K251</f>
        <v>0.69230769230769229</v>
      </c>
      <c r="E166" s="1010"/>
      <c r="F166" s="1010"/>
      <c r="G166" s="1010"/>
      <c r="H166" s="1012"/>
      <c r="I166" s="1010"/>
      <c r="J166" s="1014"/>
      <c r="K166" s="1010"/>
      <c r="L166" s="1016"/>
      <c r="M166" s="1008"/>
    </row>
    <row r="167" spans="1:13" ht="15">
      <c r="A167" s="590" t="s">
        <v>41</v>
      </c>
      <c r="B167" s="591">
        <f>Data!L252</f>
        <v>10.666666666666666</v>
      </c>
      <c r="C167" s="590" t="s">
        <v>39</v>
      </c>
      <c r="D167" s="592">
        <f>Data!G252/Data!K252</f>
        <v>0.69230769230769229</v>
      </c>
      <c r="E167" s="1010"/>
      <c r="F167" s="1010"/>
      <c r="G167" s="1010"/>
      <c r="H167" s="1012"/>
      <c r="I167" s="1010"/>
      <c r="J167" s="1014"/>
      <c r="K167" s="1010"/>
      <c r="L167" s="1016"/>
      <c r="M167" s="1008"/>
    </row>
    <row r="168" spans="1:13" ht="15">
      <c r="A168" s="628" t="s">
        <v>21</v>
      </c>
      <c r="B168" s="629">
        <f>Data!L253</f>
        <v>10.833333333333334</v>
      </c>
      <c r="C168" s="630" t="s">
        <v>144</v>
      </c>
      <c r="D168" s="631">
        <f>Data!G253/Data!K253</f>
        <v>0.47368421052631576</v>
      </c>
      <c r="E168" s="1292">
        <f>SUM(Data!J253:J260)</f>
        <v>1862.5</v>
      </c>
      <c r="F168" s="1294">
        <f>SUM(Data!H253:H260)</f>
        <v>1440</v>
      </c>
      <c r="G168" s="1296">
        <f>SUM(Data!I253:I260)</f>
        <v>422.5</v>
      </c>
      <c r="H168" s="1298">
        <f>F168/E168</f>
        <v>0.77315436241610735</v>
      </c>
      <c r="I168" s="1300">
        <f>AVERAGE(B168:B174)</f>
        <v>9.902061877499003</v>
      </c>
      <c r="J168" s="1302">
        <f>Data!P253/6</f>
        <v>31.833333333333332</v>
      </c>
      <c r="K168" s="1287">
        <f>E168/7</f>
        <v>266.07142857142856</v>
      </c>
      <c r="L168" s="1289">
        <f>F168/7</f>
        <v>205.71428571428572</v>
      </c>
      <c r="M168" s="1008"/>
    </row>
    <row r="169" spans="1:13" ht="14.45" customHeight="1">
      <c r="A169" s="632" t="s">
        <v>29</v>
      </c>
      <c r="B169" s="594">
        <f>Data!L255</f>
        <v>11.195652173913043</v>
      </c>
      <c r="C169" s="593" t="s">
        <v>150</v>
      </c>
      <c r="D169" s="633">
        <f>Data!G255/Data!K255</f>
        <v>0.76666666666666672</v>
      </c>
      <c r="E169" s="1293"/>
      <c r="F169" s="1295"/>
      <c r="G169" s="1297"/>
      <c r="H169" s="1299"/>
      <c r="I169" s="1301"/>
      <c r="J169" s="1303"/>
      <c r="K169" s="1288"/>
      <c r="L169" s="1290"/>
      <c r="M169" s="1000" t="s">
        <v>255</v>
      </c>
    </row>
    <row r="170" spans="1:13" ht="14.45" customHeight="1">
      <c r="A170" s="632" t="s">
        <v>31</v>
      </c>
      <c r="B170" s="594">
        <f>Data!L256</f>
        <v>10.560975609756097</v>
      </c>
      <c r="C170" s="593" t="s">
        <v>39</v>
      </c>
      <c r="D170" s="633">
        <f>Data!G256/Data!K256</f>
        <v>0.82</v>
      </c>
      <c r="E170" s="1293"/>
      <c r="F170" s="1295"/>
      <c r="G170" s="1297"/>
      <c r="H170" s="1299"/>
      <c r="I170" s="1301"/>
      <c r="J170" s="1303"/>
      <c r="K170" s="1288"/>
      <c r="L170" s="1290"/>
      <c r="M170" s="1001"/>
    </row>
    <row r="171" spans="1:13" ht="14.45" customHeight="1">
      <c r="A171" s="632" t="s">
        <v>36</v>
      </c>
      <c r="B171" s="594">
        <f>Data!L257</f>
        <v>7.5757575757575761</v>
      </c>
      <c r="C171" s="593" t="s">
        <v>150</v>
      </c>
      <c r="D171" s="633">
        <f>Data!G257/Data!K257</f>
        <v>0.56896551724137934</v>
      </c>
      <c r="E171" s="1293"/>
      <c r="F171" s="1295"/>
      <c r="G171" s="1297"/>
      <c r="H171" s="1299"/>
      <c r="I171" s="1301"/>
      <c r="J171" s="1303"/>
      <c r="K171" s="1288"/>
      <c r="L171" s="1290"/>
      <c r="M171" s="1001"/>
    </row>
    <row r="172" spans="1:13" ht="14.45" customHeight="1">
      <c r="A172" s="632" t="s">
        <v>38</v>
      </c>
      <c r="B172" s="594">
        <f>Data!L258</f>
        <v>10.060606060606061</v>
      </c>
      <c r="C172" s="593" t="s">
        <v>39</v>
      </c>
      <c r="D172" s="633">
        <f>Data!G258/Data!K258</f>
        <v>1</v>
      </c>
      <c r="E172" s="1293"/>
      <c r="F172" s="1295"/>
      <c r="G172" s="1297"/>
      <c r="H172" s="1299"/>
      <c r="I172" s="1301"/>
      <c r="J172" s="1303"/>
      <c r="K172" s="1288"/>
      <c r="L172" s="1290"/>
      <c r="M172" s="1001"/>
    </row>
    <row r="173" spans="1:13" ht="15">
      <c r="A173" s="632" t="s">
        <v>38</v>
      </c>
      <c r="B173" s="594">
        <f>Data!L259</f>
        <v>9.1860465116279073</v>
      </c>
      <c r="C173" s="593" t="s">
        <v>39</v>
      </c>
      <c r="D173" s="633">
        <f>Data!G259/Data!K259</f>
        <v>0.71666666666666667</v>
      </c>
      <c r="E173" s="1293"/>
      <c r="F173" s="1295"/>
      <c r="G173" s="1297"/>
      <c r="H173" s="1299"/>
      <c r="I173" s="1301"/>
      <c r="J173" s="1303"/>
      <c r="K173" s="1288"/>
      <c r="L173" s="1290"/>
      <c r="M173" s="1001"/>
    </row>
    <row r="174" spans="1:13" ht="15">
      <c r="A174" s="634" t="s">
        <v>41</v>
      </c>
      <c r="B174" s="635"/>
      <c r="C174" s="636" t="s">
        <v>39</v>
      </c>
      <c r="D174" s="637"/>
      <c r="E174" s="1293"/>
      <c r="F174" s="1295"/>
      <c r="G174" s="1297"/>
      <c r="H174" s="1299"/>
      <c r="I174" s="1301"/>
      <c r="J174" s="1303"/>
      <c r="K174" s="1288"/>
      <c r="L174" s="1291"/>
      <c r="M174" s="1001"/>
    </row>
    <row r="175" spans="1:13" ht="14.45" customHeight="1">
      <c r="A175" s="638" t="s">
        <v>21</v>
      </c>
      <c r="B175" s="639">
        <f>Data!L261</f>
        <v>10.666666666666666</v>
      </c>
      <c r="C175" s="638" t="s">
        <v>144</v>
      </c>
      <c r="D175" s="640">
        <f>Data!G261/Data!K261</f>
        <v>0.45454545454545453</v>
      </c>
      <c r="E175" s="1307">
        <f>SUM(Data!J261:J268)</f>
        <v>1985</v>
      </c>
      <c r="F175" s="1309">
        <f>SUM(Data!H261:H268)</f>
        <v>1539</v>
      </c>
      <c r="G175" s="1312">
        <f>SUM(Data!I261:I268)</f>
        <v>446</v>
      </c>
      <c r="H175" s="1314">
        <f>F175/E175</f>
        <v>0.77531486146095718</v>
      </c>
      <c r="I175" s="1317">
        <f>AVERAGE(B175:B183)</f>
        <v>9.7860544217687071</v>
      </c>
      <c r="J175" s="1318">
        <f>Data!P261/Data!O261</f>
        <v>29.142857142857142</v>
      </c>
      <c r="K175" s="1309">
        <f>E175/7</f>
        <v>283.57142857142856</v>
      </c>
      <c r="L175" s="1304">
        <f>F175/7</f>
        <v>219.85714285714286</v>
      </c>
      <c r="M175" s="1001"/>
    </row>
    <row r="176" spans="1:13" ht="14.45" customHeight="1">
      <c r="A176" s="617" t="s">
        <v>29</v>
      </c>
      <c r="B176" s="618">
        <f>Data!L263</f>
        <v>10.9375</v>
      </c>
      <c r="C176" s="617" t="s">
        <v>39</v>
      </c>
      <c r="D176" s="621">
        <f>Data!G263/Data!K263</f>
        <v>0.64</v>
      </c>
      <c r="E176" s="1308"/>
      <c r="F176" s="1310">
        <f>SUM(Data!H261:H268)</f>
        <v>1539</v>
      </c>
      <c r="G176" s="1304"/>
      <c r="H176" s="1315"/>
      <c r="I176" s="1305"/>
      <c r="J176" s="1319"/>
      <c r="K176" s="1310"/>
      <c r="L176" s="1305"/>
      <c r="M176" s="1001"/>
    </row>
    <row r="177" spans="1:13" ht="14.45" customHeight="1">
      <c r="A177" s="617" t="s">
        <v>31</v>
      </c>
      <c r="B177" s="618">
        <f>Data!L264</f>
        <v>10</v>
      </c>
      <c r="C177" s="617" t="s">
        <v>39</v>
      </c>
      <c r="D177" s="621">
        <f>Data!G264/Data!K264</f>
        <v>0.70833333333333337</v>
      </c>
      <c r="E177" s="1308"/>
      <c r="F177" s="1310"/>
      <c r="G177" s="1304"/>
      <c r="H177" s="1315"/>
      <c r="I177" s="1305"/>
      <c r="J177" s="1319"/>
      <c r="K177" s="1310"/>
      <c r="L177" s="1305"/>
      <c r="M177" s="1001"/>
    </row>
    <row r="178" spans="1:13" ht="14.45" customHeight="1">
      <c r="A178" s="617" t="s">
        <v>36</v>
      </c>
      <c r="B178" s="618">
        <f>Data!L265</f>
        <v>8.8125</v>
      </c>
      <c r="C178" s="617" t="s">
        <v>39</v>
      </c>
      <c r="D178" s="621">
        <f>Data!G265/Data!K265</f>
        <v>0.94117647058823528</v>
      </c>
      <c r="E178" s="1308"/>
      <c r="F178" s="1310"/>
      <c r="G178" s="1304"/>
      <c r="H178" s="1315"/>
      <c r="I178" s="1305"/>
      <c r="J178" s="1319"/>
      <c r="K178" s="1310"/>
      <c r="L178" s="1305"/>
      <c r="M178" s="1001"/>
    </row>
    <row r="179" spans="1:13" ht="14.45" customHeight="1">
      <c r="A179" s="617" t="s">
        <v>38</v>
      </c>
      <c r="B179" s="618">
        <f>Data!L266</f>
        <v>9.2857142857142865</v>
      </c>
      <c r="C179" s="617" t="s">
        <v>39</v>
      </c>
      <c r="D179" s="621">
        <f>Data!G266/Data!K266</f>
        <v>0.875</v>
      </c>
      <c r="E179" s="1308"/>
      <c r="F179" s="1310"/>
      <c r="G179" s="1304"/>
      <c r="H179" s="1315"/>
      <c r="I179" s="1305"/>
      <c r="J179" s="1319"/>
      <c r="K179" s="1310"/>
      <c r="L179" s="1305"/>
      <c r="M179" s="1001"/>
    </row>
    <row r="180" spans="1:13" ht="14.45" customHeight="1">
      <c r="A180" s="617" t="s">
        <v>38</v>
      </c>
      <c r="B180" s="618">
        <f>Data!L267</f>
        <v>6.9428571428571431</v>
      </c>
      <c r="C180" s="617" t="s">
        <v>39</v>
      </c>
      <c r="D180" s="621">
        <f>Data!G267/Data!K267</f>
        <v>0.58333333333333337</v>
      </c>
      <c r="E180" s="1308"/>
      <c r="F180" s="1310"/>
      <c r="G180" s="1304"/>
      <c r="H180" s="1315"/>
      <c r="I180" s="1305"/>
      <c r="J180" s="1319"/>
      <c r="K180" s="1310"/>
      <c r="L180" s="1305"/>
      <c r="M180" s="1001"/>
    </row>
    <row r="181" spans="1:13" ht="14.45" customHeight="1">
      <c r="A181" s="617" t="s">
        <v>41</v>
      </c>
      <c r="B181" s="618">
        <f>Data!L268</f>
        <v>11.857142857142858</v>
      </c>
      <c r="C181" s="617" t="s">
        <v>39</v>
      </c>
      <c r="D181" s="621">
        <f>Data!G268/Data!K268</f>
        <v>0.58333333333333337</v>
      </c>
      <c r="E181" s="1308"/>
      <c r="F181" s="1310"/>
      <c r="G181" s="1304"/>
      <c r="H181" s="1315"/>
      <c r="I181" s="1305"/>
      <c r="J181" s="1319"/>
      <c r="K181" s="1310"/>
      <c r="L181" s="1305"/>
      <c r="M181" s="1001"/>
    </row>
    <row r="182" spans="1:13" ht="14.45" customHeight="1">
      <c r="A182" s="617"/>
      <c r="B182" s="661"/>
      <c r="C182" s="617"/>
      <c r="D182" s="660"/>
      <c r="E182" s="1308"/>
      <c r="F182" s="1310"/>
      <c r="G182" s="1304"/>
      <c r="H182" s="1315"/>
      <c r="I182" s="1305"/>
      <c r="J182" s="1319"/>
      <c r="K182" s="1310"/>
      <c r="L182" s="1305"/>
      <c r="M182" s="1001"/>
    </row>
    <row r="183" spans="1:13" ht="14.45" customHeight="1">
      <c r="A183" s="662"/>
      <c r="B183" s="663"/>
      <c r="C183" s="662"/>
      <c r="D183" s="664"/>
      <c r="E183" s="1308"/>
      <c r="F183" s="1311"/>
      <c r="G183" s="1313"/>
      <c r="H183" s="1316"/>
      <c r="I183" s="1306"/>
      <c r="J183" s="1320"/>
      <c r="K183" s="1311"/>
      <c r="L183" s="1306"/>
      <c r="M183" s="1001"/>
    </row>
    <row r="184" spans="1:13" ht="15">
      <c r="A184" s="665" t="s">
        <v>21</v>
      </c>
      <c r="B184" s="666">
        <f>Data!L269</f>
        <v>10.21875</v>
      </c>
      <c r="C184" s="665" t="s">
        <v>144</v>
      </c>
      <c r="D184" s="667">
        <f>Data!G269/Data!K269</f>
        <v>0.64</v>
      </c>
      <c r="E184" s="1029">
        <f>SUM(Data!J269:J278)</f>
        <v>1696</v>
      </c>
      <c r="F184" s="1029">
        <f>SUM(Data!H269:H276)</f>
        <v>1321</v>
      </c>
      <c r="G184" s="1029">
        <f>SUM(Data!I269:I278)</f>
        <v>375</v>
      </c>
      <c r="H184" s="1031">
        <f>F184/E184</f>
        <v>0.77889150943396224</v>
      </c>
      <c r="I184" s="1029">
        <f>AVERAGE(B184:B190)</f>
        <v>10.771556579621096</v>
      </c>
      <c r="J184" s="1337">
        <f>Data!P269/7</f>
        <v>23.571428571428573</v>
      </c>
      <c r="K184" s="1030">
        <f>E184/7</f>
        <v>242.28571428571428</v>
      </c>
      <c r="L184" s="1334">
        <f>F184/7</f>
        <v>188.71428571428572</v>
      </c>
      <c r="M184" s="1001"/>
    </row>
    <row r="185" spans="1:13" ht="14.45" customHeight="1">
      <c r="A185" s="665" t="s">
        <v>23</v>
      </c>
      <c r="B185" s="666">
        <f>Data!L270</f>
        <v>13.75</v>
      </c>
      <c r="C185" s="665" t="s">
        <v>39</v>
      </c>
      <c r="D185" s="667">
        <f>Data!G270/Data!K270</f>
        <v>0.61538461538461542</v>
      </c>
      <c r="E185" s="1030"/>
      <c r="F185" s="1030"/>
      <c r="G185" s="1030"/>
      <c r="H185" s="1031"/>
      <c r="I185" s="1032"/>
      <c r="J185" s="1032"/>
      <c r="K185" s="1032"/>
      <c r="L185" s="1335"/>
      <c r="M185" s="1001"/>
    </row>
    <row r="186" spans="1:13" ht="14.45" customHeight="1">
      <c r="A186" s="665" t="s">
        <v>29</v>
      </c>
      <c r="B186" s="666">
        <f>Data!L271</f>
        <v>12.666666666666666</v>
      </c>
      <c r="C186" s="665" t="s">
        <v>39</v>
      </c>
      <c r="D186" s="667">
        <f>Data!G271/Data!K271</f>
        <v>0.49090909090909091</v>
      </c>
      <c r="E186" s="1030"/>
      <c r="F186" s="1030"/>
      <c r="G186" s="1030"/>
      <c r="H186" s="1031"/>
      <c r="I186" s="1032"/>
      <c r="J186" s="1032"/>
      <c r="K186" s="1032"/>
      <c r="L186" s="1335"/>
      <c r="M186" s="1001"/>
    </row>
    <row r="187" spans="1:13" ht="14.45" customHeight="1">
      <c r="A187" s="665" t="s">
        <v>31</v>
      </c>
      <c r="B187" s="666">
        <f>Data!L272</f>
        <v>8.5483870967741939</v>
      </c>
      <c r="C187" s="665" t="s">
        <v>144</v>
      </c>
      <c r="D187" s="667">
        <f>Data!G272/Data!K272</f>
        <v>0.62</v>
      </c>
      <c r="E187" s="1030"/>
      <c r="F187" s="1030"/>
      <c r="G187" s="1030"/>
      <c r="H187" s="1031"/>
      <c r="I187" s="1032"/>
      <c r="J187" s="1032"/>
      <c r="K187" s="1032"/>
      <c r="L187" s="1335"/>
      <c r="M187" s="1001"/>
    </row>
    <row r="188" spans="1:13" ht="14.45" customHeight="1">
      <c r="A188" s="665" t="s">
        <v>36</v>
      </c>
      <c r="B188" s="666">
        <f>Data!L273</f>
        <v>9.9142857142857146</v>
      </c>
      <c r="C188" s="665" t="s">
        <v>150</v>
      </c>
      <c r="D188" s="667">
        <f>Data!G273/Data!K273</f>
        <v>0.7</v>
      </c>
      <c r="E188" s="1030"/>
      <c r="F188" s="1030"/>
      <c r="G188" s="1030"/>
      <c r="H188" s="1031"/>
      <c r="I188" s="1032"/>
      <c r="J188" s="1032"/>
      <c r="K188" s="1032"/>
      <c r="L188" s="1335"/>
      <c r="M188" s="1001"/>
    </row>
    <row r="189" spans="1:13" ht="14.45" customHeight="1">
      <c r="A189" s="665" t="s">
        <v>38</v>
      </c>
      <c r="B189" s="666">
        <f>Data!L274</f>
        <v>9.53125</v>
      </c>
      <c r="C189" s="665" t="s">
        <v>39</v>
      </c>
      <c r="D189" s="667">
        <f>Data!G274/Data!K274</f>
        <v>0.53333333333333333</v>
      </c>
      <c r="E189" s="1030"/>
      <c r="F189" s="1030"/>
      <c r="G189" s="1030"/>
      <c r="H189" s="1031"/>
      <c r="I189" s="1032"/>
      <c r="J189" s="1032"/>
      <c r="K189" s="1032"/>
      <c r="L189" s="1335"/>
      <c r="M189" s="1001"/>
    </row>
    <row r="190" spans="1:13" ht="14.45" customHeight="1">
      <c r="A190" s="665"/>
      <c r="B190" s="666"/>
      <c r="C190" s="665"/>
      <c r="D190" s="667"/>
      <c r="E190" s="1030"/>
      <c r="F190" s="1030"/>
      <c r="G190" s="1030"/>
      <c r="H190" s="1031"/>
      <c r="I190" s="1032"/>
      <c r="J190" s="1032"/>
      <c r="K190" s="1032"/>
      <c r="L190" s="1335"/>
      <c r="M190" s="1001"/>
    </row>
    <row r="191" spans="1:13" ht="14.45" customHeight="1">
      <c r="A191" s="665"/>
      <c r="B191" s="666"/>
      <c r="C191" s="665"/>
      <c r="D191" s="667"/>
      <c r="E191" s="1030"/>
      <c r="F191" s="1030"/>
      <c r="G191" s="1030"/>
      <c r="H191" s="1031"/>
      <c r="I191" s="1032"/>
      <c r="J191" s="1032"/>
      <c r="K191" s="1032"/>
      <c r="L191" s="1335"/>
      <c r="M191" s="1001"/>
    </row>
    <row r="192" spans="1:13" ht="14.45" customHeight="1">
      <c r="A192" s="770"/>
      <c r="B192" s="771"/>
      <c r="C192" s="770"/>
      <c r="D192" s="784"/>
      <c r="E192" s="1030"/>
      <c r="F192" s="1030"/>
      <c r="G192" s="1030"/>
      <c r="H192" s="1031"/>
      <c r="I192" s="1032"/>
      <c r="J192" s="1333"/>
      <c r="K192" s="1333"/>
      <c r="L192" s="1336"/>
      <c r="M192" s="1001"/>
    </row>
    <row r="193" spans="1:13" ht="15">
      <c r="A193" s="677" t="s">
        <v>29</v>
      </c>
      <c r="B193" s="678">
        <f>Data!L279</f>
        <v>12.5</v>
      </c>
      <c r="C193" s="677" t="s">
        <v>39</v>
      </c>
      <c r="D193" s="785">
        <f>Data!G279/Data!K279</f>
        <v>0.66666666666666663</v>
      </c>
      <c r="E193" s="1039">
        <f>SUM(Data!J279:J284)</f>
        <v>930</v>
      </c>
      <c r="F193" s="1041">
        <f>SUM(Data!H279:H284)</f>
        <v>715</v>
      </c>
      <c r="G193" s="1004">
        <f>SUM(Data!I279:I284)</f>
        <v>215</v>
      </c>
      <c r="H193" s="1045">
        <f>F193/E193</f>
        <v>0.76881720430107525</v>
      </c>
      <c r="I193" s="1039">
        <f>AVERAGE(B193:B197)</f>
        <v>10.232142857142858</v>
      </c>
      <c r="J193" s="1048">
        <f>Data!P277/Data!O277</f>
        <v>18.399999999999999</v>
      </c>
      <c r="K193" s="1039">
        <f>E193/5</f>
        <v>186</v>
      </c>
      <c r="L193" s="1004">
        <f>F193/5</f>
        <v>143</v>
      </c>
      <c r="M193" s="1001"/>
    </row>
    <row r="194" spans="1:13" ht="15">
      <c r="A194" s="677" t="s">
        <v>31</v>
      </c>
      <c r="B194" s="678">
        <f>Data!L280</f>
        <v>9.0625</v>
      </c>
      <c r="C194" s="677" t="s">
        <v>39</v>
      </c>
      <c r="D194" s="785">
        <f>Data!G280/Data!K280</f>
        <v>0.78048780487804881</v>
      </c>
      <c r="E194" s="1040"/>
      <c r="F194" s="1042"/>
      <c r="G194" s="1005"/>
      <c r="H194" s="1046"/>
      <c r="I194" s="1040"/>
      <c r="J194" s="1049"/>
      <c r="K194" s="1040"/>
      <c r="L194" s="1005"/>
      <c r="M194" s="1001"/>
    </row>
    <row r="195" spans="1:13" ht="15">
      <c r="A195" s="677" t="s">
        <v>36</v>
      </c>
      <c r="B195" s="678">
        <f>Data!L281</f>
        <v>9.0625</v>
      </c>
      <c r="C195" s="677" t="s">
        <v>150</v>
      </c>
      <c r="D195" s="785">
        <f>Data!G281/Data!K281</f>
        <v>0.53333333333333333</v>
      </c>
      <c r="E195" s="1040"/>
      <c r="F195" s="1042"/>
      <c r="G195" s="1005"/>
      <c r="H195" s="1046"/>
      <c r="I195" s="1040"/>
      <c r="J195" s="1049"/>
      <c r="K195" s="1040"/>
      <c r="L195" s="1005"/>
      <c r="M195" s="1001"/>
    </row>
    <row r="196" spans="1:13" ht="15">
      <c r="A196" s="677" t="s">
        <v>38</v>
      </c>
      <c r="B196" s="678">
        <f>Data!L282</f>
        <v>9.2857142857142865</v>
      </c>
      <c r="C196" s="677" t="s">
        <v>39</v>
      </c>
      <c r="D196" s="785">
        <f>Data!G282/Data!K282</f>
        <v>1.0769230769230769</v>
      </c>
      <c r="E196" s="1040"/>
      <c r="F196" s="1042"/>
      <c r="G196" s="1005"/>
      <c r="H196" s="1046"/>
      <c r="I196" s="1040"/>
      <c r="J196" s="1049"/>
      <c r="K196" s="1040"/>
      <c r="L196" s="1005"/>
      <c r="M196" s="1001"/>
    </row>
    <row r="197" spans="1:13" ht="15">
      <c r="A197" s="816" t="s">
        <v>41</v>
      </c>
      <c r="B197" s="817">
        <f>Data!L283</f>
        <v>11.25</v>
      </c>
      <c r="C197" s="816" t="s">
        <v>39</v>
      </c>
      <c r="D197" s="820">
        <f>Data!G283/Data!K283</f>
        <v>0.61538461538461542</v>
      </c>
      <c r="E197" s="1040"/>
      <c r="F197" s="1043"/>
      <c r="G197" s="1044"/>
      <c r="H197" s="1047"/>
      <c r="I197" s="1040"/>
      <c r="J197" s="1050"/>
      <c r="K197" s="1040"/>
      <c r="L197" s="1005"/>
      <c r="M197" s="1001"/>
    </row>
    <row r="198" spans="1:13" ht="15">
      <c r="A198" s="818" t="s">
        <v>21</v>
      </c>
      <c r="B198" s="789">
        <f>Data!L285</f>
        <v>9.75</v>
      </c>
      <c r="C198" s="818" t="s">
        <v>39</v>
      </c>
      <c r="D198" s="819">
        <f>Data!G285/Data!K285</f>
        <v>0.8</v>
      </c>
      <c r="E198" s="1321">
        <f>SUM(Data!J285:J290)</f>
        <v>992</v>
      </c>
      <c r="F198" s="1323">
        <f>SUM(Data!H285:H290)</f>
        <v>767</v>
      </c>
      <c r="G198" s="1323">
        <f>SUM(Data!I285:I290)</f>
        <v>225</v>
      </c>
      <c r="H198" s="1326">
        <f>F198/E198</f>
        <v>0.77318548387096775</v>
      </c>
      <c r="I198" s="1329">
        <f>AVERAGE(B198:B201)</f>
        <v>9.5848214285714288</v>
      </c>
      <c r="J198" s="1330">
        <f>Data!P285/Data!O285</f>
        <v>26</v>
      </c>
      <c r="K198" s="1330">
        <f>E198/4</f>
        <v>248</v>
      </c>
      <c r="L198" s="1323">
        <f>F198/4</f>
        <v>191.75</v>
      </c>
      <c r="M198" s="1002"/>
    </row>
    <row r="199" spans="1:13" ht="14.45" customHeight="1">
      <c r="A199" s="818" t="s">
        <v>31</v>
      </c>
      <c r="B199" s="789">
        <f>Data!L288</f>
        <v>10.892857142857142</v>
      </c>
      <c r="C199" s="818" t="s">
        <v>39</v>
      </c>
      <c r="D199" s="819">
        <f>Data!G288/Data!K288</f>
        <v>0.65116279069767447</v>
      </c>
      <c r="E199" s="1322"/>
      <c r="F199" s="1324"/>
      <c r="G199" s="1324"/>
      <c r="H199" s="1327"/>
      <c r="I199" s="1324"/>
      <c r="J199" s="1331"/>
      <c r="K199" s="1331"/>
      <c r="L199" s="1324"/>
      <c r="M199" s="1003"/>
    </row>
    <row r="200" spans="1:13" ht="15">
      <c r="A200" s="818" t="s">
        <v>36</v>
      </c>
      <c r="B200" s="789">
        <f>Data!L289</f>
        <v>10.625</v>
      </c>
      <c r="C200" s="818" t="s">
        <v>39</v>
      </c>
      <c r="D200" s="819">
        <f>Data!G289/Data!K289</f>
        <v>0.88888888888888884</v>
      </c>
      <c r="E200" s="1322"/>
      <c r="F200" s="1324"/>
      <c r="G200" s="1324"/>
      <c r="H200" s="1327"/>
      <c r="I200" s="1324"/>
      <c r="J200" s="1331"/>
      <c r="K200" s="1331"/>
      <c r="L200" s="1324"/>
    </row>
    <row r="201" spans="1:13" ht="15">
      <c r="A201" s="861" t="s">
        <v>38</v>
      </c>
      <c r="B201" s="863">
        <f>Data!L290</f>
        <v>7.0714285714285712</v>
      </c>
      <c r="C201" s="861" t="s">
        <v>39</v>
      </c>
      <c r="D201" s="864">
        <f>Data!G290/Data!K290</f>
        <v>0.73684210526315785</v>
      </c>
      <c r="E201" s="1322"/>
      <c r="F201" s="1325"/>
      <c r="G201" s="1325"/>
      <c r="H201" s="1328"/>
      <c r="I201" s="1325"/>
      <c r="J201" s="1332"/>
      <c r="K201" s="1332"/>
      <c r="L201" s="1325"/>
    </row>
    <row r="202" spans="1:13" ht="15">
      <c r="A202" s="860" t="s">
        <v>21</v>
      </c>
      <c r="B202" s="838">
        <f>Data!L292</f>
        <v>9.8000000000000007</v>
      </c>
      <c r="C202" s="860" t="s">
        <v>39</v>
      </c>
      <c r="D202" s="862">
        <f>Data!G292/Data!K292</f>
        <v>0.7142857142857143</v>
      </c>
      <c r="E202" s="990">
        <f>SUM(Data!J292:J297)</f>
        <v>716</v>
      </c>
      <c r="F202" s="993">
        <f>SUM(Data!H292:H297)</f>
        <v>563.5</v>
      </c>
      <c r="G202" s="990">
        <f>SUM(Data!I292:I297)</f>
        <v>152.5</v>
      </c>
      <c r="H202" s="996">
        <f>F202/E202</f>
        <v>0.78701117318435754</v>
      </c>
      <c r="I202" s="999">
        <f>AVERAGE(B202:B207)</f>
        <v>10.376744186046512</v>
      </c>
      <c r="J202" s="1362">
        <f>Data!P292/Data!O292</f>
        <v>11.333333333333334</v>
      </c>
      <c r="K202" s="999">
        <f>E202/6</f>
        <v>119.33333333333333</v>
      </c>
      <c r="L202" s="999">
        <f>F202/6</f>
        <v>93.916666666666671</v>
      </c>
    </row>
    <row r="203" spans="1:13" ht="15">
      <c r="A203" s="860" t="s">
        <v>23</v>
      </c>
      <c r="B203" s="838">
        <f>Data!L293</f>
        <v>10.953488372093023</v>
      </c>
      <c r="C203" s="860" t="s">
        <v>39</v>
      </c>
      <c r="D203" s="862">
        <f>Data!G293/Data!K293</f>
        <v>0.71666666666666667</v>
      </c>
      <c r="E203" s="991"/>
      <c r="F203" s="994"/>
      <c r="G203" s="991"/>
      <c r="H203" s="997"/>
      <c r="I203" s="991"/>
      <c r="J203" s="1363"/>
      <c r="K203" s="1360"/>
      <c r="L203" s="1360"/>
    </row>
    <row r="204" spans="1:13" ht="15">
      <c r="A204" s="860"/>
      <c r="B204" s="838"/>
      <c r="C204" s="860"/>
      <c r="D204" s="862"/>
      <c r="E204" s="991"/>
      <c r="F204" s="994"/>
      <c r="G204" s="991"/>
      <c r="H204" s="997"/>
      <c r="I204" s="991"/>
      <c r="J204" s="1363"/>
      <c r="K204" s="1360"/>
      <c r="L204" s="1360"/>
    </row>
    <row r="205" spans="1:13" ht="15">
      <c r="A205" s="860"/>
      <c r="B205" s="838"/>
      <c r="C205" s="860"/>
      <c r="D205" s="862"/>
      <c r="E205" s="991"/>
      <c r="F205" s="994"/>
      <c r="G205" s="991"/>
      <c r="H205" s="997"/>
      <c r="I205" s="991"/>
      <c r="J205" s="1363"/>
      <c r="K205" s="1360"/>
      <c r="L205" s="1360"/>
    </row>
    <row r="206" spans="1:13" ht="15">
      <c r="A206" s="860"/>
      <c r="B206" s="838"/>
      <c r="C206" s="860"/>
      <c r="D206" s="862"/>
      <c r="E206" s="991"/>
      <c r="F206" s="994"/>
      <c r="G206" s="991"/>
      <c r="H206" s="997"/>
      <c r="I206" s="991"/>
      <c r="J206" s="1363"/>
      <c r="K206" s="1360"/>
      <c r="L206" s="1360"/>
    </row>
    <row r="207" spans="1:13" ht="15">
      <c r="A207" s="860"/>
      <c r="B207" s="838"/>
      <c r="C207" s="860"/>
      <c r="D207" s="862"/>
      <c r="E207" s="992"/>
      <c r="F207" s="995"/>
      <c r="G207" s="992"/>
      <c r="H207" s="998"/>
      <c r="I207" s="992"/>
      <c r="J207" s="1364"/>
      <c r="K207" s="1361"/>
      <c r="L207" s="1361"/>
    </row>
    <row r="208" spans="1:13" ht="15">
      <c r="A208" s="477"/>
      <c r="B208" s="839"/>
      <c r="C208" s="477"/>
      <c r="D208" s="840"/>
      <c r="E208" s="477"/>
      <c r="F208" s="477"/>
      <c r="G208" s="477"/>
      <c r="H208" s="477"/>
      <c r="I208" s="477"/>
      <c r="J208" s="477"/>
      <c r="K208" s="477"/>
      <c r="L208" s="477"/>
    </row>
    <row r="209" spans="1:12">
      <c r="A209" s="477"/>
      <c r="B209" s="839"/>
      <c r="C209" s="477"/>
      <c r="D209" s="477"/>
      <c r="E209" s="477"/>
      <c r="F209" s="477"/>
      <c r="G209" s="477"/>
      <c r="H209" s="477"/>
      <c r="I209" s="477"/>
      <c r="J209" s="477"/>
      <c r="K209" s="477"/>
      <c r="L209" s="477"/>
    </row>
  </sheetData>
  <mergeCells count="288">
    <mergeCell ref="E198:E201"/>
    <mergeCell ref="F198:F201"/>
    <mergeCell ref="G198:G201"/>
    <mergeCell ref="H198:H201"/>
    <mergeCell ref="I198:I201"/>
    <mergeCell ref="J198:J201"/>
    <mergeCell ref="K198:K201"/>
    <mergeCell ref="L198:L201"/>
    <mergeCell ref="K184:K192"/>
    <mergeCell ref="L184:L192"/>
    <mergeCell ref="J184:J192"/>
    <mergeCell ref="E17:E20"/>
    <mergeCell ref="J76:J78"/>
    <mergeCell ref="L148:L155"/>
    <mergeCell ref="K148:K155"/>
    <mergeCell ref="J148:J155"/>
    <mergeCell ref="I148:I155"/>
    <mergeCell ref="G148:G155"/>
    <mergeCell ref="F148:F155"/>
    <mergeCell ref="E148:E155"/>
    <mergeCell ref="F40:F45"/>
    <mergeCell ref="G40:G45"/>
    <mergeCell ref="H40:H45"/>
    <mergeCell ref="I40:I45"/>
    <mergeCell ref="E100:E107"/>
    <mergeCell ref="F100:F107"/>
    <mergeCell ref="G100:G107"/>
    <mergeCell ref="E40:E45"/>
    <mergeCell ref="H92:H99"/>
    <mergeCell ref="E46:E50"/>
    <mergeCell ref="F46:F50"/>
    <mergeCell ref="G46:G50"/>
    <mergeCell ref="H46:H50"/>
    <mergeCell ref="G58:G59"/>
    <mergeCell ref="E76:E78"/>
    <mergeCell ref="F76:F78"/>
    <mergeCell ref="G76:G78"/>
    <mergeCell ref="H76:H78"/>
    <mergeCell ref="F62:F70"/>
    <mergeCell ref="G62:G70"/>
    <mergeCell ref="H62:H70"/>
    <mergeCell ref="H79:H85"/>
    <mergeCell ref="L26:L32"/>
    <mergeCell ref="I33:I39"/>
    <mergeCell ref="J33:J39"/>
    <mergeCell ref="K33:K39"/>
    <mergeCell ref="L33:L39"/>
    <mergeCell ref="G51:G57"/>
    <mergeCell ref="H51:H57"/>
    <mergeCell ref="G71:G75"/>
    <mergeCell ref="I46:I50"/>
    <mergeCell ref="E71:E75"/>
    <mergeCell ref="F92:F99"/>
    <mergeCell ref="G92:G99"/>
    <mergeCell ref="J71:J75"/>
    <mergeCell ref="K71:K75"/>
    <mergeCell ref="L71:L75"/>
    <mergeCell ref="H58:H59"/>
    <mergeCell ref="K92:K99"/>
    <mergeCell ref="L92:L99"/>
    <mergeCell ref="L79:L85"/>
    <mergeCell ref="K86:K91"/>
    <mergeCell ref="L86:L91"/>
    <mergeCell ref="I76:I78"/>
    <mergeCell ref="H71:H75"/>
    <mergeCell ref="I71:I75"/>
    <mergeCell ref="G79:G85"/>
    <mergeCell ref="K76:K78"/>
    <mergeCell ref="L76:L78"/>
    <mergeCell ref="F71:F75"/>
    <mergeCell ref="I79:I85"/>
    <mergeCell ref="J79:J85"/>
    <mergeCell ref="K79:K85"/>
    <mergeCell ref="J86:J91"/>
    <mergeCell ref="I86:I91"/>
    <mergeCell ref="L10:L13"/>
    <mergeCell ref="G10:G13"/>
    <mergeCell ref="H10:H13"/>
    <mergeCell ref="I10:I13"/>
    <mergeCell ref="G4:G7"/>
    <mergeCell ref="H4:H7"/>
    <mergeCell ref="I4:I7"/>
    <mergeCell ref="I14:I16"/>
    <mergeCell ref="E79:E85"/>
    <mergeCell ref="F79:F85"/>
    <mergeCell ref="E33:E39"/>
    <mergeCell ref="F33:F39"/>
    <mergeCell ref="G33:G39"/>
    <mergeCell ref="H33:H39"/>
    <mergeCell ref="J21:J25"/>
    <mergeCell ref="K21:K25"/>
    <mergeCell ref="L21:L25"/>
    <mergeCell ref="E21:E25"/>
    <mergeCell ref="F21:F25"/>
    <mergeCell ref="G21:G25"/>
    <mergeCell ref="H21:H25"/>
    <mergeCell ref="I21:I25"/>
    <mergeCell ref="J26:J32"/>
    <mergeCell ref="K26:K32"/>
    <mergeCell ref="M4:M16"/>
    <mergeCell ref="E26:E32"/>
    <mergeCell ref="F26:F32"/>
    <mergeCell ref="G26:G32"/>
    <mergeCell ref="H26:H32"/>
    <mergeCell ref="I26:I32"/>
    <mergeCell ref="J17:J20"/>
    <mergeCell ref="K17:K20"/>
    <mergeCell ref="L17:L20"/>
    <mergeCell ref="E14:E16"/>
    <mergeCell ref="F14:F16"/>
    <mergeCell ref="G14:G16"/>
    <mergeCell ref="H14:H16"/>
    <mergeCell ref="J14:J16"/>
    <mergeCell ref="K14:K16"/>
    <mergeCell ref="L14:L16"/>
    <mergeCell ref="F17:F20"/>
    <mergeCell ref="J8:J9"/>
    <mergeCell ref="K8:K9"/>
    <mergeCell ref="L8:L9"/>
    <mergeCell ref="L4:L7"/>
    <mergeCell ref="K4:K7"/>
    <mergeCell ref="J4:J7"/>
    <mergeCell ref="G17:G20"/>
    <mergeCell ref="E4:E7"/>
    <mergeCell ref="F4:F7"/>
    <mergeCell ref="H60:H61"/>
    <mergeCell ref="I60:I61"/>
    <mergeCell ref="J60:J61"/>
    <mergeCell ref="K60:K61"/>
    <mergeCell ref="E60:E61"/>
    <mergeCell ref="F60:F61"/>
    <mergeCell ref="G60:G61"/>
    <mergeCell ref="E8:E9"/>
    <mergeCell ref="F8:F9"/>
    <mergeCell ref="G8:G9"/>
    <mergeCell ref="H8:H9"/>
    <mergeCell ref="I8:I9"/>
    <mergeCell ref="E10:E13"/>
    <mergeCell ref="F10:F13"/>
    <mergeCell ref="H17:H20"/>
    <mergeCell ref="I17:I20"/>
    <mergeCell ref="J10:J13"/>
    <mergeCell ref="K10:K13"/>
    <mergeCell ref="E51:E57"/>
    <mergeCell ref="F51:F57"/>
    <mergeCell ref="E58:E59"/>
    <mergeCell ref="F58:F59"/>
    <mergeCell ref="M41:M59"/>
    <mergeCell ref="I51:I57"/>
    <mergeCell ref="J62:J70"/>
    <mergeCell ref="K62:K70"/>
    <mergeCell ref="L62:L70"/>
    <mergeCell ref="L60:L61"/>
    <mergeCell ref="J51:J57"/>
    <mergeCell ref="K51:K57"/>
    <mergeCell ref="L51:L57"/>
    <mergeCell ref="L40:L45"/>
    <mergeCell ref="I58:I59"/>
    <mergeCell ref="J58:J59"/>
    <mergeCell ref="K58:K59"/>
    <mergeCell ref="L58:L59"/>
    <mergeCell ref="M17:M40"/>
    <mergeCell ref="J46:J50"/>
    <mergeCell ref="K46:K50"/>
    <mergeCell ref="L46:L50"/>
    <mergeCell ref="J40:J45"/>
    <mergeCell ref="K40:K45"/>
    <mergeCell ref="I62:I70"/>
    <mergeCell ref="M60:M85"/>
    <mergeCell ref="E62:E70"/>
    <mergeCell ref="M86:M112"/>
    <mergeCell ref="E112:E116"/>
    <mergeCell ref="F112:F116"/>
    <mergeCell ref="G112:G116"/>
    <mergeCell ref="H112:H116"/>
    <mergeCell ref="I112:I116"/>
    <mergeCell ref="J112:J116"/>
    <mergeCell ref="K112:K116"/>
    <mergeCell ref="L112:L116"/>
    <mergeCell ref="E108:E111"/>
    <mergeCell ref="F108:F111"/>
    <mergeCell ref="G108:G111"/>
    <mergeCell ref="H108:H111"/>
    <mergeCell ref="I108:I111"/>
    <mergeCell ref="J108:J111"/>
    <mergeCell ref="K108:K111"/>
    <mergeCell ref="L108:L111"/>
    <mergeCell ref="J100:J107"/>
    <mergeCell ref="K100:K107"/>
    <mergeCell ref="I92:I99"/>
    <mergeCell ref="L100:L107"/>
    <mergeCell ref="J92:J99"/>
    <mergeCell ref="E86:E91"/>
    <mergeCell ref="H100:H107"/>
    <mergeCell ref="M113:M138"/>
    <mergeCell ref="H136:H141"/>
    <mergeCell ref="I136:I141"/>
    <mergeCell ref="J136:J141"/>
    <mergeCell ref="K136:K141"/>
    <mergeCell ref="L136:L141"/>
    <mergeCell ref="G136:G141"/>
    <mergeCell ref="L126:L130"/>
    <mergeCell ref="I100:I107"/>
    <mergeCell ref="H126:H130"/>
    <mergeCell ref="I126:I130"/>
    <mergeCell ref="J126:J130"/>
    <mergeCell ref="K126:K130"/>
    <mergeCell ref="E131:E135"/>
    <mergeCell ref="F131:F135"/>
    <mergeCell ref="G131:G135"/>
    <mergeCell ref="H131:H135"/>
    <mergeCell ref="I131:I135"/>
    <mergeCell ref="K131:K135"/>
    <mergeCell ref="J131:J135"/>
    <mergeCell ref="F136:F141"/>
    <mergeCell ref="L131:L135"/>
    <mergeCell ref="F86:F91"/>
    <mergeCell ref="G86:G91"/>
    <mergeCell ref="H86:H91"/>
    <mergeCell ref="E92:E99"/>
    <mergeCell ref="K156:K163"/>
    <mergeCell ref="E193:E197"/>
    <mergeCell ref="F193:F197"/>
    <mergeCell ref="G193:G197"/>
    <mergeCell ref="H193:H197"/>
    <mergeCell ref="I193:I197"/>
    <mergeCell ref="J193:J197"/>
    <mergeCell ref="K193:K197"/>
    <mergeCell ref="E126:E130"/>
    <mergeCell ref="F126:F130"/>
    <mergeCell ref="J142:J147"/>
    <mergeCell ref="K142:K147"/>
    <mergeCell ref="E156:E163"/>
    <mergeCell ref="F156:F163"/>
    <mergeCell ref="G156:G163"/>
    <mergeCell ref="H156:H163"/>
    <mergeCell ref="I156:I163"/>
    <mergeCell ref="J156:J163"/>
    <mergeCell ref="G126:G130"/>
    <mergeCell ref="E136:E141"/>
    <mergeCell ref="M139:M168"/>
    <mergeCell ref="E164:E167"/>
    <mergeCell ref="F164:F167"/>
    <mergeCell ref="G164:G167"/>
    <mergeCell ref="H164:H167"/>
    <mergeCell ref="I164:I167"/>
    <mergeCell ref="J164:J167"/>
    <mergeCell ref="K164:K167"/>
    <mergeCell ref="L164:L167"/>
    <mergeCell ref="H148:H155"/>
    <mergeCell ref="G142:G147"/>
    <mergeCell ref="L142:L147"/>
    <mergeCell ref="E142:E147"/>
    <mergeCell ref="F142:F147"/>
    <mergeCell ref="H142:H147"/>
    <mergeCell ref="I142:I147"/>
    <mergeCell ref="L156:L163"/>
    <mergeCell ref="K168:K174"/>
    <mergeCell ref="L168:L174"/>
    <mergeCell ref="E168:E174"/>
    <mergeCell ref="F168:F174"/>
    <mergeCell ref="G168:G174"/>
    <mergeCell ref="H168:H174"/>
    <mergeCell ref="I168:I174"/>
    <mergeCell ref="E202:E207"/>
    <mergeCell ref="F202:F207"/>
    <mergeCell ref="G202:G207"/>
    <mergeCell ref="H202:H207"/>
    <mergeCell ref="I202:I207"/>
    <mergeCell ref="J202:J207"/>
    <mergeCell ref="K202:K207"/>
    <mergeCell ref="L202:L207"/>
    <mergeCell ref="M169:M199"/>
    <mergeCell ref="L193:L197"/>
    <mergeCell ref="E184:E192"/>
    <mergeCell ref="F184:F192"/>
    <mergeCell ref="G184:G192"/>
    <mergeCell ref="H184:H192"/>
    <mergeCell ref="I184:I192"/>
    <mergeCell ref="J168:J174"/>
    <mergeCell ref="L175:L183"/>
    <mergeCell ref="E175:E183"/>
    <mergeCell ref="F175:F183"/>
    <mergeCell ref="G175:G183"/>
    <mergeCell ref="H175:H183"/>
    <mergeCell ref="I175:I183"/>
    <mergeCell ref="J175:J183"/>
    <mergeCell ref="K175:K18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13"/>
  <sheetViews>
    <sheetView topLeftCell="B1" zoomScaleNormal="100" workbookViewId="0">
      <selection activeCell="S11" sqref="S11"/>
    </sheetView>
  </sheetViews>
  <sheetFormatPr defaultColWidth="10.7109375" defaultRowHeight="14.45"/>
  <cols>
    <col min="1" max="1" width="5" customWidth="1"/>
    <col min="2" max="2" width="20" customWidth="1"/>
    <col min="3" max="3" width="10.7109375" customWidth="1"/>
    <col min="4" max="4" width="9.28515625" customWidth="1"/>
    <col min="5" max="5" width="9.7109375" customWidth="1"/>
    <col min="6" max="6" width="13.42578125" customWidth="1"/>
    <col min="7" max="7" width="11.85546875" customWidth="1"/>
    <col min="8" max="8" width="11.28515625" customWidth="1"/>
    <col min="12" max="12" width="10" customWidth="1"/>
    <col min="13" max="13" width="12.5703125" customWidth="1"/>
    <col min="14" max="14" width="10.28515625" customWidth="1"/>
    <col min="15" max="15" width="7" customWidth="1"/>
    <col min="16" max="16" width="8.28515625" customWidth="1"/>
    <col min="19" max="19" width="12" bestFit="1" customWidth="1"/>
    <col min="20" max="20" width="11.28515625" bestFit="1" customWidth="1"/>
    <col min="23" max="23" width="14.85546875" customWidth="1"/>
  </cols>
  <sheetData>
    <row r="1" spans="2:23" ht="15"/>
    <row r="2" spans="2:23" ht="15">
      <c r="C2" s="672" t="s">
        <v>256</v>
      </c>
      <c r="D2" s="725" t="s">
        <v>257</v>
      </c>
      <c r="E2" s="672" t="s">
        <v>258</v>
      </c>
      <c r="F2" s="727" t="s">
        <v>259</v>
      </c>
      <c r="G2" s="673" t="s">
        <v>260</v>
      </c>
      <c r="H2" s="671" t="s">
        <v>261</v>
      </c>
      <c r="I2" s="672" t="s">
        <v>262</v>
      </c>
      <c r="J2" s="673" t="s">
        <v>12</v>
      </c>
      <c r="K2" s="671" t="s">
        <v>263</v>
      </c>
      <c r="L2" s="742" t="s">
        <v>264</v>
      </c>
      <c r="M2" s="672" t="s">
        <v>265</v>
      </c>
      <c r="N2" s="673" t="s">
        <v>266</v>
      </c>
      <c r="O2" s="187" t="s">
        <v>267</v>
      </c>
      <c r="P2" s="671" t="s">
        <v>268</v>
      </c>
      <c r="Q2" s="674" t="s">
        <v>269</v>
      </c>
      <c r="R2" s="675" t="s">
        <v>270</v>
      </c>
      <c r="S2" s="675" t="s">
        <v>271</v>
      </c>
      <c r="T2" s="676" t="s">
        <v>272</v>
      </c>
      <c r="U2" s="676" t="s">
        <v>273</v>
      </c>
      <c r="V2" s="675" t="s">
        <v>274</v>
      </c>
      <c r="W2" s="759" t="s">
        <v>275</v>
      </c>
    </row>
    <row r="3" spans="2:23" ht="15">
      <c r="B3" s="712" t="s">
        <v>276</v>
      </c>
      <c r="C3" s="719" t="s">
        <v>277</v>
      </c>
      <c r="D3" s="726" t="s">
        <v>278</v>
      </c>
      <c r="E3" s="709">
        <v>339</v>
      </c>
      <c r="F3" s="728">
        <v>2355.5</v>
      </c>
      <c r="G3" s="683">
        <v>772.5</v>
      </c>
      <c r="H3" s="684">
        <v>3128.5</v>
      </c>
      <c r="I3" s="668">
        <f t="shared" ref="I3:I9" si="0">F3/H3</f>
        <v>0.75291673325875019</v>
      </c>
      <c r="J3" s="685">
        <v>437</v>
      </c>
      <c r="K3" s="737">
        <v>0.78107220610126915</v>
      </c>
      <c r="L3" s="743">
        <v>14</v>
      </c>
      <c r="M3" s="735">
        <f>AVERAGE(Data!O4:O25,4)</f>
        <v>3.5</v>
      </c>
      <c r="N3" s="747">
        <f>AVERAGE(Data!H4:H34)</f>
        <v>168.25</v>
      </c>
      <c r="O3" s="686">
        <f>AVERAGE(Data!G5:G34)</f>
        <v>24.214285714285715</v>
      </c>
      <c r="P3" s="606">
        <f>AVERAGE('Analisis semanal'!B4:B17)</f>
        <v>9.1807756175870026</v>
      </c>
      <c r="Q3" s="607">
        <f>F3/31</f>
        <v>75.983870967741936</v>
      </c>
      <c r="R3" s="687"/>
      <c r="S3" s="687"/>
      <c r="T3" s="688"/>
      <c r="U3" s="733">
        <f>G3/2.5</f>
        <v>309</v>
      </c>
      <c r="V3" s="757">
        <f>(E3/U3)-1</f>
        <v>9.7087378640776656E-2</v>
      </c>
      <c r="W3" s="1338">
        <f>SUM(R6:R1048576)</f>
        <v>822</v>
      </c>
    </row>
    <row r="4" spans="2:23" ht="15">
      <c r="B4" s="713" t="s">
        <v>279</v>
      </c>
      <c r="C4" s="720" t="s">
        <v>280</v>
      </c>
      <c r="D4" s="720" t="s">
        <v>281</v>
      </c>
      <c r="E4" s="710">
        <f>SUM(Data!G35:G68)</f>
        <v>585</v>
      </c>
      <c r="F4" s="729">
        <f>SUM(Data!H35:H68)</f>
        <v>4189.7</v>
      </c>
      <c r="G4" s="690">
        <f>SUM(Data!I35:I68)</f>
        <v>1540.3</v>
      </c>
      <c r="H4" s="691">
        <f>SUM(Data!J35:J68)</f>
        <v>5704</v>
      </c>
      <c r="I4" s="668">
        <f t="shared" si="0"/>
        <v>0.73451963534361853</v>
      </c>
      <c r="J4" s="692">
        <f>SUM(Data!K35:K68)</f>
        <v>781</v>
      </c>
      <c r="K4" s="738">
        <f t="shared" ref="K4:K9" si="1">E4/J4</f>
        <v>0.74903969270166448</v>
      </c>
      <c r="L4" s="744">
        <f>SUM(Data!O40:O66)+3+1</f>
        <v>23</v>
      </c>
      <c r="M4" s="740">
        <f>AVERAGE(Data!O40:O65,3)</f>
        <v>5.5</v>
      </c>
      <c r="N4" s="748">
        <f>AVERAGE(Data!H35:H68)</f>
        <v>182.16086956521738</v>
      </c>
      <c r="O4" s="686">
        <f>AVERAGE(Data!G35:G68)</f>
        <v>25.434782608695652</v>
      </c>
      <c r="P4" s="606">
        <f>AVERAGE('Analisis semanal'!B18:B37)</f>
        <v>9.9315609747980353</v>
      </c>
      <c r="Q4" s="608">
        <f>F4/28</f>
        <v>149.63214285714284</v>
      </c>
      <c r="R4" s="693"/>
      <c r="S4" s="694"/>
      <c r="T4" s="688"/>
      <c r="U4" s="734">
        <f t="shared" ref="U4:U10" si="2">G4/2.5</f>
        <v>616.12</v>
      </c>
      <c r="V4" s="758">
        <f t="shared" ref="V4:V10" si="3">(E4/U4)-1</f>
        <v>-5.0509640979030102E-2</v>
      </c>
      <c r="W4" s="1339"/>
    </row>
    <row r="5" spans="2:23" ht="15">
      <c r="B5" s="714" t="s">
        <v>282</v>
      </c>
      <c r="C5" s="720" t="s">
        <v>283</v>
      </c>
      <c r="D5" s="720" t="s">
        <v>284</v>
      </c>
      <c r="E5" s="710">
        <f>SUM(Data!G71:G107)</f>
        <v>469</v>
      </c>
      <c r="F5" s="729">
        <f>SUM(Data!H71:H107)</f>
        <v>3620.5</v>
      </c>
      <c r="G5" s="690">
        <f>SUM(Data!I71:I107)</f>
        <v>1262</v>
      </c>
      <c r="H5" s="691">
        <f>SUM(Data!J71:J107)</f>
        <v>4881</v>
      </c>
      <c r="I5" s="668">
        <f t="shared" si="0"/>
        <v>0.7417537389879123</v>
      </c>
      <c r="J5" s="692">
        <f>SUM(Data!K71:K107)</f>
        <v>646</v>
      </c>
      <c r="K5" s="738">
        <f t="shared" si="1"/>
        <v>0.72600619195046434</v>
      </c>
      <c r="L5" s="744">
        <f>21</f>
        <v>21</v>
      </c>
      <c r="M5" s="740">
        <f>AVERAGE(Data!O77:O102,4,2)</f>
        <v>4</v>
      </c>
      <c r="N5" s="748">
        <f>AVERAGE(Data!H71:H107)</f>
        <v>190.55263157894737</v>
      </c>
      <c r="O5" s="686">
        <f>AVERAGE(Data!G71:G102)</f>
        <v>24.684210526315791</v>
      </c>
      <c r="P5" s="606">
        <f>AVERAGE('Analisis semanal'!B42:B59)</f>
        <v>10.519770726178773</v>
      </c>
      <c r="Q5" s="607">
        <f>F5/31</f>
        <v>116.79032258064517</v>
      </c>
      <c r="R5" s="695"/>
      <c r="S5" s="696"/>
      <c r="T5" s="689"/>
      <c r="U5" s="734">
        <f t="shared" si="2"/>
        <v>504.8</v>
      </c>
      <c r="V5" s="758">
        <f t="shared" si="3"/>
        <v>-7.0919175911251964E-2</v>
      </c>
      <c r="W5" s="1339"/>
    </row>
    <row r="6" spans="2:23" ht="15">
      <c r="B6" s="715" t="s">
        <v>285</v>
      </c>
      <c r="C6" s="720" t="s">
        <v>286</v>
      </c>
      <c r="D6" s="720" t="s">
        <v>287</v>
      </c>
      <c r="E6" s="710">
        <f>SUM(Data!G109:G144)</f>
        <v>602</v>
      </c>
      <c r="F6" s="729">
        <f>SUM(Data!H109:H145)+64</f>
        <v>5005.7</v>
      </c>
      <c r="G6" s="690">
        <f>SUM(Data!I109:I145)</f>
        <v>1377.5</v>
      </c>
      <c r="H6" s="697">
        <f>SUM(Data!J109:J145)</f>
        <v>6316.5</v>
      </c>
      <c r="I6" s="668">
        <f t="shared" si="0"/>
        <v>0.79248001266524182</v>
      </c>
      <c r="J6" s="692">
        <f>SUM(Data!K109:K144)</f>
        <v>768</v>
      </c>
      <c r="K6" s="738">
        <f t="shared" si="1"/>
        <v>0.78385416666666663</v>
      </c>
      <c r="L6" s="744">
        <f>SUM(Data!O103:O140)</f>
        <v>26</v>
      </c>
      <c r="M6" s="740">
        <f>AVERAGE(Data!O111:O143)</f>
        <v>6</v>
      </c>
      <c r="N6" s="604">
        <f>AVERAGE(Data!H109:H144)</f>
        <v>191.768</v>
      </c>
      <c r="O6" s="686">
        <f>AVERAGE(Data!G109:G144)</f>
        <v>24.08</v>
      </c>
      <c r="P6" s="606">
        <f>AVERAGE('Analisis semanal'!B60:B85)</f>
        <v>10.27145110005144</v>
      </c>
      <c r="Q6" s="607">
        <f>F6/30</f>
        <v>166.85666666666665</v>
      </c>
      <c r="R6" s="698">
        <f>64</f>
        <v>64</v>
      </c>
      <c r="S6" s="708">
        <f t="shared" ref="S6:S9" si="4">R6/U6</f>
        <v>0.1161524500907441</v>
      </c>
      <c r="T6" s="699">
        <f>AVERAGE('Analisis semanal'!F62,'Analisis semanal'!F79)</f>
        <v>1507.25</v>
      </c>
      <c r="U6" s="734">
        <f t="shared" si="2"/>
        <v>551</v>
      </c>
      <c r="V6" s="758">
        <f t="shared" si="3"/>
        <v>9.2558983666061634E-2</v>
      </c>
      <c r="W6" s="1339"/>
    </row>
    <row r="7" spans="2:23" ht="15">
      <c r="B7" s="716" t="s">
        <v>288</v>
      </c>
      <c r="C7" s="721" t="s">
        <v>289</v>
      </c>
      <c r="D7" s="721" t="s">
        <v>290</v>
      </c>
      <c r="E7" s="711">
        <f>SUM(Data!G146:G178)</f>
        <v>668</v>
      </c>
      <c r="F7" s="730">
        <f>SUM(Data!H146:H178)+92+33.5</f>
        <v>5017.5</v>
      </c>
      <c r="G7" s="700">
        <f>SUM(Data!I146:I178)</f>
        <v>1522.9</v>
      </c>
      <c r="H7" s="701">
        <f>SUM(Data!J146:J178)</f>
        <v>6321.8</v>
      </c>
      <c r="I7" s="668">
        <f t="shared" si="0"/>
        <v>0.79368217912619821</v>
      </c>
      <c r="J7" s="702">
        <f>SUM(Data!K146:K178)</f>
        <v>850</v>
      </c>
      <c r="K7" s="738">
        <f t="shared" si="1"/>
        <v>0.78588235294117648</v>
      </c>
      <c r="L7" s="745">
        <f>23</f>
        <v>23</v>
      </c>
      <c r="M7" s="741">
        <f>AVERAGE(Data!O146:O175)</f>
        <v>6</v>
      </c>
      <c r="N7" s="604">
        <f>AVERAGE(Data!H146:H178)</f>
        <v>203.83333333333334</v>
      </c>
      <c r="O7" s="686">
        <f>AVERAGE(Data!G146:G178)</f>
        <v>27.833333333333332</v>
      </c>
      <c r="P7" s="606">
        <f>AVERAGE('Analisis semanal'!B86:B111)</f>
        <v>9.6980360684055285</v>
      </c>
      <c r="Q7" s="607">
        <f>F7/31</f>
        <v>161.85483870967741</v>
      </c>
      <c r="R7" s="688">
        <f>92</f>
        <v>92</v>
      </c>
      <c r="S7" s="708">
        <f t="shared" si="4"/>
        <v>0.15102764462538576</v>
      </c>
      <c r="T7" s="699">
        <f>AVERAGE('Analisis semanal'!F86:F111)</f>
        <v>1223</v>
      </c>
      <c r="U7" s="734">
        <f t="shared" si="2"/>
        <v>609.16000000000008</v>
      </c>
      <c r="V7" s="758">
        <f t="shared" si="3"/>
        <v>9.659202836693126E-2</v>
      </c>
      <c r="W7" s="1339"/>
    </row>
    <row r="8" spans="2:23" ht="15">
      <c r="B8" s="717" t="s">
        <v>291</v>
      </c>
      <c r="C8" s="722" t="s">
        <v>292</v>
      </c>
      <c r="D8" s="722" t="s">
        <v>293</v>
      </c>
      <c r="E8" s="723">
        <f>SUM(Data!G182:G216)</f>
        <v>755</v>
      </c>
      <c r="F8" s="731">
        <f>SUM(Data!H182:H216)+63+23+37+24</f>
        <v>5858.5</v>
      </c>
      <c r="G8" s="703">
        <f>SUM(Data!I182:I216)</f>
        <v>1750</v>
      </c>
      <c r="H8" s="704">
        <f>SUM(Data!J182:J216)</f>
        <v>7446.5</v>
      </c>
      <c r="I8" s="669">
        <f t="shared" si="0"/>
        <v>0.7867454508829651</v>
      </c>
      <c r="J8" s="705">
        <f>SUM(Data!K182:K216)</f>
        <v>1124</v>
      </c>
      <c r="K8" s="610">
        <f t="shared" si="1"/>
        <v>0.67170818505338081</v>
      </c>
      <c r="L8" s="746">
        <f>26</f>
        <v>26</v>
      </c>
      <c r="M8" s="736">
        <f>AVERAGE(5,5,8,5,8)</f>
        <v>6.2</v>
      </c>
      <c r="N8" s="604">
        <f>AVERAGE(Data!H179:H216)</f>
        <v>228.46</v>
      </c>
      <c r="O8" s="686">
        <f>AVERAGE(Data!G179:G216)</f>
        <v>30.2</v>
      </c>
      <c r="P8" s="609">
        <f>AVERAGE('Analisis semanal'!B112:B138)</f>
        <v>10.033140907581785</v>
      </c>
      <c r="Q8" s="607">
        <f>F8/31</f>
        <v>188.98387096774192</v>
      </c>
      <c r="R8" s="688">
        <f>147</f>
        <v>147</v>
      </c>
      <c r="S8" s="708">
        <f t="shared" si="4"/>
        <v>0.21</v>
      </c>
      <c r="T8" s="699">
        <f>AVERAGE('Analisis semanal'!F112:F135)</f>
        <v>1328.625</v>
      </c>
      <c r="U8" s="734">
        <f t="shared" si="2"/>
        <v>700</v>
      </c>
      <c r="V8" s="758">
        <f t="shared" si="3"/>
        <v>7.8571428571428514E-2</v>
      </c>
      <c r="W8" s="1339"/>
    </row>
    <row r="9" spans="2:23" ht="15">
      <c r="B9" s="718" t="s">
        <v>294</v>
      </c>
      <c r="C9" s="722" t="s">
        <v>146</v>
      </c>
      <c r="D9" s="722" t="s">
        <v>295</v>
      </c>
      <c r="E9" s="724">
        <f>SUM(Data!G217:G253)</f>
        <v>637</v>
      </c>
      <c r="F9" s="732">
        <f>SUM(Data!H217:H253)+R9</f>
        <v>5626</v>
      </c>
      <c r="G9" s="703">
        <f>SUM(Data!I217:I253)</f>
        <v>1360</v>
      </c>
      <c r="H9" s="704">
        <f>SUM(Data!J217:J253)</f>
        <v>6783.5</v>
      </c>
      <c r="I9" s="670">
        <f t="shared" si="0"/>
        <v>0.82936537185818526</v>
      </c>
      <c r="J9" s="706">
        <f>SUM(Data!K217:K253)</f>
        <v>990</v>
      </c>
      <c r="K9" s="739">
        <f t="shared" si="1"/>
        <v>0.64343434343434347</v>
      </c>
      <c r="L9" s="746">
        <f>27</f>
        <v>27</v>
      </c>
      <c r="M9" s="736">
        <f>AVERAGE(Data!O212:O252)</f>
        <v>5.8</v>
      </c>
      <c r="N9" s="605">
        <f>AVERAGE(Data!H217:H253)</f>
        <v>199.37037037037038</v>
      </c>
      <c r="O9" s="707">
        <f>AVERAGE(Data!G217:G253)</f>
        <v>23.592592592592592</v>
      </c>
      <c r="P9" s="607">
        <f>AVERAGE('Analisis semanal'!B139:B170)</f>
        <v>10.569339626495559</v>
      </c>
      <c r="Q9" s="607">
        <f>F9/31</f>
        <v>181.48387096774192</v>
      </c>
      <c r="R9" s="688">
        <f>47+24+59+53+43+17</f>
        <v>243</v>
      </c>
      <c r="S9" s="708">
        <f t="shared" si="4"/>
        <v>0.44669117647058826</v>
      </c>
      <c r="T9" s="699">
        <f>AVERAGE('Analisis semanal'!F142:F163)</f>
        <v>1304.5</v>
      </c>
      <c r="U9" s="734">
        <f t="shared" si="2"/>
        <v>544</v>
      </c>
      <c r="V9" s="758">
        <f t="shared" si="3"/>
        <v>0.17095588235294112</v>
      </c>
      <c r="W9" s="1339"/>
    </row>
    <row r="10" spans="2:23" ht="15">
      <c r="B10" s="790" t="s">
        <v>296</v>
      </c>
      <c r="C10" s="793">
        <v>26</v>
      </c>
      <c r="D10" s="793"/>
      <c r="E10" s="794">
        <f>SUM(Data!G255:G284)</f>
        <v>634</v>
      </c>
      <c r="F10" s="795">
        <f>SUM(Data!H255:H288)+R10</f>
        <v>5541</v>
      </c>
      <c r="G10" s="796">
        <f>SUM(Data!I255:I288)</f>
        <v>1523.5</v>
      </c>
      <c r="H10" s="797">
        <f>SUM(Data!J255:J288)</f>
        <v>6817.5</v>
      </c>
      <c r="I10" s="798">
        <f>F10/H10</f>
        <v>0.81276127612761273</v>
      </c>
      <c r="J10" s="800">
        <f>SUM(Data!K255:K283)</f>
        <v>948</v>
      </c>
      <c r="K10" s="802">
        <f>E10/J10</f>
        <v>0.66877637130801693</v>
      </c>
      <c r="L10" s="803">
        <f>26</f>
        <v>26</v>
      </c>
      <c r="M10" s="812">
        <f>AVERAGE(Data!O253:O284)</f>
        <v>6.6</v>
      </c>
      <c r="N10" s="804">
        <f>AVERAGE(Data!H254:H284)</f>
        <v>211.30434782608697</v>
      </c>
      <c r="O10" s="805">
        <f>AVERAGE(Data!G254:G284)</f>
        <v>27.565217391304348</v>
      </c>
      <c r="P10" s="806">
        <f>AVERAGE('Analisis semanal'!B169:B199)</f>
        <v>10.140573191613585</v>
      </c>
      <c r="Q10" s="807">
        <f>F10/31</f>
        <v>178.74193548387098</v>
      </c>
      <c r="R10" s="808">
        <f>25+3+8+13+16+2+14+6+14+10+6+16+9+17+7+8+4+15+11+3+12+4+10+14</f>
        <v>247</v>
      </c>
      <c r="S10" s="809">
        <f>R10/U10</f>
        <v>0.40531670495569416</v>
      </c>
      <c r="T10" s="830">
        <f>AVERAGE('Analisis semanal'!F168:F197)</f>
        <v>1310.8</v>
      </c>
      <c r="U10" s="810">
        <f t="shared" si="2"/>
        <v>609.4</v>
      </c>
      <c r="V10" s="811">
        <f t="shared" si="3"/>
        <v>4.0367574663603634E-2</v>
      </c>
      <c r="W10" s="1339"/>
    </row>
    <row r="11" spans="2:23" ht="15">
      <c r="B11" s="791" t="s">
        <v>297</v>
      </c>
      <c r="C11" s="826"/>
      <c r="D11" s="821"/>
      <c r="E11" s="813">
        <f>SUM(Data!G289:G318)</f>
        <v>120</v>
      </c>
      <c r="F11" s="765">
        <f>SUM(Data!H289:H318)</f>
        <v>896.5</v>
      </c>
      <c r="G11" s="765">
        <f>SUM(Data!I289:I318)</f>
        <v>272.5</v>
      </c>
      <c r="H11" s="765">
        <f>SUM(Data!J289:J318)</f>
        <v>1169</v>
      </c>
      <c r="I11" s="814">
        <f>F11/H11</f>
        <v>0.76689478186484172</v>
      </c>
      <c r="J11" s="761">
        <f>SUM(Data!K289:K318)</f>
        <v>160</v>
      </c>
      <c r="K11" s="814">
        <f>E11/J11</f>
        <v>0.75</v>
      </c>
      <c r="L11" s="801"/>
      <c r="M11" s="799"/>
      <c r="N11" s="834">
        <f>AVERAGE(Data!H289:H318)</f>
        <v>224.125</v>
      </c>
      <c r="O11" s="822">
        <f>AVERAGE(Data!G289:G318)</f>
        <v>30</v>
      </c>
      <c r="P11" s="833">
        <f>AVERAGE('Analisis semanal'!B200:B230)</f>
        <v>9.6124792358803983</v>
      </c>
      <c r="Q11" s="813">
        <f>F117/30</f>
        <v>0</v>
      </c>
      <c r="R11" s="761">
        <f>4+4+10+11</f>
        <v>29</v>
      </c>
      <c r="S11" s="823">
        <f>R11/U11</f>
        <v>0.26605504587155965</v>
      </c>
      <c r="T11" s="821"/>
      <c r="U11" s="822">
        <f>G11/2.5</f>
        <v>109</v>
      </c>
      <c r="V11" s="824">
        <f>(E11/U11)-1</f>
        <v>0.10091743119266061</v>
      </c>
      <c r="W11" s="792"/>
    </row>
    <row r="12" spans="2:23" ht="15">
      <c r="G12" s="615"/>
    </row>
    <row r="13" spans="2:23">
      <c r="N13" s="332"/>
    </row>
  </sheetData>
  <mergeCells count="1">
    <mergeCell ref="W3:W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7"/>
  <sheetViews>
    <sheetView tabSelected="1" topLeftCell="A6" workbookViewId="0">
      <selection activeCell="C18" sqref="C18"/>
    </sheetView>
  </sheetViews>
  <sheetFormatPr defaultColWidth="10.7109375" defaultRowHeight="14.45"/>
  <cols>
    <col min="1" max="1" width="17.7109375" customWidth="1"/>
    <col min="2" max="2" width="14.7109375" customWidth="1"/>
    <col min="3" max="3" width="13" bestFit="1" customWidth="1"/>
    <col min="4" max="4" width="15.42578125" customWidth="1"/>
    <col min="5" max="5" width="11.85546875" customWidth="1"/>
    <col min="6" max="6" width="18.7109375" customWidth="1"/>
    <col min="8" max="8" width="11.85546875" customWidth="1"/>
    <col min="9" max="9" width="12.5703125" customWidth="1"/>
    <col min="12" max="12" width="11" bestFit="1" customWidth="1"/>
  </cols>
  <sheetData>
    <row r="1" spans="1:12" ht="15" thickBot="1">
      <c r="A1" t="s">
        <v>298</v>
      </c>
      <c r="B1" s="55" t="s">
        <v>299</v>
      </c>
    </row>
    <row r="2" spans="1:12">
      <c r="B2" s="55" t="s">
        <v>300</v>
      </c>
      <c r="F2" s="344"/>
      <c r="G2" s="38" t="s">
        <v>301</v>
      </c>
      <c r="H2" s="38" t="s">
        <v>302</v>
      </c>
      <c r="I2" s="345" t="s">
        <v>303</v>
      </c>
    </row>
    <row r="3" spans="1:12">
      <c r="F3" s="154" t="s">
        <v>121</v>
      </c>
      <c r="G3" s="23" t="s">
        <v>304</v>
      </c>
      <c r="H3" s="23">
        <v>6440</v>
      </c>
      <c r="I3" s="346"/>
    </row>
    <row r="4" spans="1:12">
      <c r="A4" t="s">
        <v>305</v>
      </c>
      <c r="B4" t="s">
        <v>306</v>
      </c>
      <c r="F4" s="154" t="s">
        <v>307</v>
      </c>
      <c r="G4" s="23">
        <v>1900</v>
      </c>
      <c r="H4" s="23">
        <v>100</v>
      </c>
      <c r="I4" s="346"/>
      <c r="J4" t="s">
        <v>308</v>
      </c>
    </row>
    <row r="5" spans="1:12">
      <c r="B5" t="s">
        <v>309</v>
      </c>
      <c r="F5" s="154" t="s">
        <v>310</v>
      </c>
      <c r="G5" s="23"/>
      <c r="H5" s="23">
        <v>100</v>
      </c>
      <c r="I5" s="346"/>
    </row>
    <row r="6" spans="1:12">
      <c r="F6" s="154" t="s">
        <v>311</v>
      </c>
      <c r="G6" s="23"/>
      <c r="H6" s="23">
        <f>100</f>
        <v>100</v>
      </c>
      <c r="I6" s="346"/>
    </row>
    <row r="7" spans="1:12" ht="15" thickBot="1">
      <c r="A7" t="s">
        <v>312</v>
      </c>
      <c r="B7" s="55" t="s">
        <v>313</v>
      </c>
      <c r="F7" s="176" t="s">
        <v>203</v>
      </c>
      <c r="G7" s="102">
        <v>5000</v>
      </c>
      <c r="H7" s="102">
        <v>300</v>
      </c>
      <c r="I7" s="347">
        <f>G7+H7</f>
        <v>5300</v>
      </c>
      <c r="K7">
        <f>SUM(J12:J14)+167</f>
        <v>167</v>
      </c>
    </row>
    <row r="8" spans="1:12" ht="15" thickBot="1">
      <c r="B8" t="s">
        <v>314</v>
      </c>
      <c r="F8" s="381"/>
      <c r="G8">
        <v>8600</v>
      </c>
      <c r="H8">
        <v>600</v>
      </c>
    </row>
    <row r="9" spans="1:12" ht="15" thickBot="1">
      <c r="C9" s="343" t="s">
        <v>315</v>
      </c>
    </row>
    <row r="10" spans="1:12" ht="15" thickBot="1">
      <c r="A10" s="1340" t="s">
        <v>316</v>
      </c>
      <c r="B10" s="359" t="s">
        <v>18</v>
      </c>
      <c r="C10" s="623">
        <v>1100</v>
      </c>
      <c r="D10" s="357" t="s">
        <v>317</v>
      </c>
      <c r="E10" s="357" t="s">
        <v>318</v>
      </c>
      <c r="F10" s="358" t="s">
        <v>319</v>
      </c>
    </row>
    <row r="11" spans="1:12" ht="15" thickBot="1">
      <c r="A11" s="1341"/>
      <c r="B11" s="359" t="s">
        <v>75</v>
      </c>
      <c r="C11" s="623">
        <v>3200</v>
      </c>
      <c r="D11" s="314">
        <f>SUM(C10:C26)+600-1000</f>
        <v>20700</v>
      </c>
      <c r="E11" s="233">
        <f>22200</f>
        <v>22200</v>
      </c>
      <c r="F11" s="314">
        <f>E11/9</f>
        <v>2466.6666666666665</v>
      </c>
      <c r="H11" s="2"/>
      <c r="I11" s="2"/>
      <c r="J11" s="2"/>
      <c r="K11" s="2"/>
    </row>
    <row r="12" spans="1:12" ht="15" thickBot="1">
      <c r="A12" s="1341"/>
      <c r="B12" s="359" t="s">
        <v>122</v>
      </c>
      <c r="C12" s="623">
        <v>1900</v>
      </c>
      <c r="D12" s="355" t="s">
        <v>320</v>
      </c>
      <c r="E12" s="356" t="s">
        <v>321</v>
      </c>
      <c r="F12" s="356" t="s">
        <v>322</v>
      </c>
      <c r="H12" s="2"/>
      <c r="I12" s="2"/>
      <c r="J12" s="2"/>
      <c r="K12" s="2"/>
    </row>
    <row r="13" spans="1:12" ht="15" thickBot="1">
      <c r="A13" s="1342"/>
      <c r="B13" s="359" t="s">
        <v>163</v>
      </c>
      <c r="C13" s="623">
        <v>3400</v>
      </c>
      <c r="D13" s="314">
        <f>AVERAGE(C11:C31)</f>
        <v>2500</v>
      </c>
      <c r="E13" s="233">
        <f>E11-D11</f>
        <v>1500</v>
      </c>
      <c r="F13" s="314">
        <f>26400+D11</f>
        <v>47100</v>
      </c>
      <c r="H13" s="2"/>
      <c r="I13" s="2"/>
      <c r="J13" s="2"/>
      <c r="K13" s="2"/>
    </row>
    <row r="14" spans="1:12" ht="15" thickBot="1">
      <c r="B14" s="422" t="s">
        <v>323</v>
      </c>
      <c r="C14" s="624">
        <f>3600</f>
        <v>3600</v>
      </c>
      <c r="H14" s="2"/>
      <c r="I14" s="2"/>
      <c r="J14" s="2"/>
      <c r="K14" s="2"/>
    </row>
    <row r="15" spans="1:12" ht="15">
      <c r="B15" s="521" t="s">
        <v>228</v>
      </c>
      <c r="C15" s="625">
        <f>1900</f>
        <v>1900</v>
      </c>
    </row>
    <row r="16" spans="1:12" ht="15.75">
      <c r="A16" t="s">
        <v>324</v>
      </c>
      <c r="B16" s="587" t="s">
        <v>230</v>
      </c>
      <c r="C16" s="625">
        <f>2100</f>
        <v>2100</v>
      </c>
      <c r="E16" s="626" t="s">
        <v>325</v>
      </c>
      <c r="F16" s="627" t="s">
        <v>326</v>
      </c>
      <c r="H16" s="856">
        <f>AVERAGE(I17:I24)</f>
        <v>0.5534211255768412</v>
      </c>
      <c r="I16" s="858" t="s">
        <v>327</v>
      </c>
      <c r="L16" s="827" t="s">
        <v>328</v>
      </c>
    </row>
    <row r="17" spans="1:12" ht="15.75">
      <c r="A17" t="s">
        <v>329</v>
      </c>
      <c r="B17" s="587" t="s">
        <v>255</v>
      </c>
      <c r="C17" s="625">
        <f>3200</f>
        <v>3200</v>
      </c>
      <c r="E17" s="764">
        <f>356</f>
        <v>356</v>
      </c>
      <c r="F17" s="654" t="s">
        <v>330</v>
      </c>
      <c r="H17" s="857" t="s">
        <v>331</v>
      </c>
      <c r="I17" s="859">
        <f>C10/'Resumen meses'!F3</f>
        <v>0.46699214604118022</v>
      </c>
      <c r="K17" s="828" t="s">
        <v>332</v>
      </c>
      <c r="L17" s="853">
        <v>180</v>
      </c>
    </row>
    <row r="18" spans="1:12" ht="15.75">
      <c r="A18" s="2"/>
      <c r="B18" s="825" t="s">
        <v>333</v>
      </c>
      <c r="C18" s="831">
        <f>700</f>
        <v>700</v>
      </c>
      <c r="E18" s="764">
        <f>163</f>
        <v>163</v>
      </c>
      <c r="F18" s="655" t="s">
        <v>334</v>
      </c>
      <c r="H18" s="857" t="s">
        <v>335</v>
      </c>
      <c r="I18" s="859">
        <f>C11/'Resumen meses'!F4</f>
        <v>0.76377783612191807</v>
      </c>
      <c r="K18" s="828" t="s">
        <v>336</v>
      </c>
      <c r="L18" s="854">
        <v>45</v>
      </c>
    </row>
    <row r="19" spans="1:12" ht="15.75">
      <c r="A19" s="563"/>
      <c r="B19" s="564"/>
      <c r="D19" s="788" t="s">
        <v>261</v>
      </c>
      <c r="E19" s="787">
        <f>343</f>
        <v>343</v>
      </c>
      <c r="F19" s="655" t="s">
        <v>337</v>
      </c>
      <c r="H19" s="857" t="s">
        <v>338</v>
      </c>
      <c r="I19" s="859">
        <f>C12/'Resumen meses'!F5</f>
        <v>0.52478939373014777</v>
      </c>
      <c r="K19" s="829" t="s">
        <v>339</v>
      </c>
      <c r="L19" s="855">
        <v>10</v>
      </c>
    </row>
    <row r="20" spans="1:12" ht="15.75">
      <c r="A20" s="563"/>
      <c r="B20" s="564"/>
      <c r="D20" s="832">
        <f>SUM(E17:E30)</f>
        <v>2640.5</v>
      </c>
      <c r="E20" s="787">
        <f>243.5</f>
        <v>243.5</v>
      </c>
      <c r="F20" s="655" t="s">
        <v>340</v>
      </c>
      <c r="H20" s="857" t="s">
        <v>341</v>
      </c>
      <c r="I20" s="859">
        <f>C13/'Resumen meses'!F6</f>
        <v>0.67922568272169725</v>
      </c>
    </row>
    <row r="21" spans="1:12" ht="15.75">
      <c r="A21" s="563"/>
      <c r="B21" s="564"/>
      <c r="D21" s="760" t="s">
        <v>342</v>
      </c>
      <c r="E21" s="787">
        <f>143.5</f>
        <v>143.5</v>
      </c>
      <c r="F21" s="655" t="s">
        <v>343</v>
      </c>
      <c r="H21" s="857" t="s">
        <v>323</v>
      </c>
      <c r="I21" s="859">
        <f>C14/'Resumen meses'!F7</f>
        <v>0.71748878923766812</v>
      </c>
    </row>
    <row r="22" spans="1:12" ht="15.75">
      <c r="A22" s="563"/>
      <c r="B22" s="564"/>
      <c r="E22" s="764">
        <f>359</f>
        <v>359</v>
      </c>
      <c r="F22" s="659" t="s">
        <v>344</v>
      </c>
      <c r="H22" s="857" t="s">
        <v>345</v>
      </c>
      <c r="I22" s="859">
        <f>C15/'Resumen meses'!F8</f>
        <v>0.32431509772125972</v>
      </c>
    </row>
    <row r="23" spans="1:12" ht="15.75">
      <c r="A23" s="563"/>
      <c r="B23" s="564"/>
      <c r="E23" s="764">
        <f>389.5</f>
        <v>389.5</v>
      </c>
      <c r="F23" s="786" t="s">
        <v>346</v>
      </c>
      <c r="H23" s="857" t="s">
        <v>347</v>
      </c>
      <c r="I23" s="859">
        <f>C16/'Resumen meses'!F9</f>
        <v>0.37326697476004267</v>
      </c>
    </row>
    <row r="24" spans="1:12" ht="15.75">
      <c r="A24" s="563"/>
      <c r="B24" s="564"/>
      <c r="E24" s="765">
        <f>307</f>
        <v>307</v>
      </c>
      <c r="F24" s="786" t="s">
        <v>348</v>
      </c>
      <c r="H24" s="857" t="s">
        <v>255</v>
      </c>
      <c r="I24" s="859">
        <f>C17/'Resumen meses'!F10</f>
        <v>0.57751308428081571</v>
      </c>
    </row>
    <row r="25" spans="1:12" ht="15.75">
      <c r="A25" s="563"/>
      <c r="B25" s="564"/>
      <c r="E25" s="764">
        <f>174</f>
        <v>174</v>
      </c>
      <c r="F25" s="1358" t="s">
        <v>349</v>
      </c>
      <c r="H25" s="857" t="s">
        <v>333</v>
      </c>
      <c r="I25" s="815">
        <f>C18/'Resumen meses'!F11</f>
        <v>0.78081427774679313</v>
      </c>
    </row>
    <row r="26" spans="1:12" ht="15">
      <c r="E26" s="837">
        <f>162</f>
        <v>162</v>
      </c>
      <c r="F26" s="1359" t="s">
        <v>350</v>
      </c>
    </row>
    <row r="27" spans="1:12" ht="15"/>
  </sheetData>
  <mergeCells count="1">
    <mergeCell ref="A10:A13"/>
  </mergeCells>
  <hyperlinks>
    <hyperlink ref="B1" r:id="rId1" xr:uid="{00000000-0004-0000-0600-000000000000}"/>
    <hyperlink ref="B2" r:id="rId2" xr:uid="{00000000-0004-0000-0600-000001000000}"/>
    <hyperlink ref="B7" r:id="rId3" xr:uid="{00000000-0004-0000-0600-000002000000}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17"/>
  <sheetViews>
    <sheetView workbookViewId="0">
      <selection activeCell="I9" sqref="I9"/>
    </sheetView>
  </sheetViews>
  <sheetFormatPr defaultColWidth="10.7109375" defaultRowHeight="14.45"/>
  <cols>
    <col min="3" max="3" width="12.85546875" customWidth="1"/>
    <col min="4" max="4" width="15.28515625" customWidth="1"/>
    <col min="5" max="5" width="16.28515625" customWidth="1"/>
    <col min="6" max="6" width="13.5703125" customWidth="1"/>
    <col min="7" max="7" width="12.7109375" customWidth="1"/>
    <col min="8" max="8" width="28.28515625" customWidth="1"/>
    <col min="9" max="9" width="10.140625" customWidth="1"/>
    <col min="10" max="10" width="9.28515625" customWidth="1"/>
    <col min="11" max="11" width="17.140625" customWidth="1"/>
  </cols>
  <sheetData>
    <row r="2" spans="1:11" ht="15" thickBot="1"/>
    <row r="3" spans="1:11" ht="15" thickBot="1">
      <c r="C3" s="188" t="s">
        <v>351</v>
      </c>
      <c r="D3" s="188" t="s">
        <v>352</v>
      </c>
      <c r="E3" s="188" t="s">
        <v>353</v>
      </c>
      <c r="F3" s="188" t="s">
        <v>354</v>
      </c>
      <c r="G3" s="187" t="s">
        <v>355</v>
      </c>
      <c r="H3" s="187" t="s">
        <v>356</v>
      </c>
      <c r="I3" s="187" t="s">
        <v>357</v>
      </c>
      <c r="J3" s="187" t="s">
        <v>358</v>
      </c>
      <c r="K3" s="187" t="s">
        <v>359</v>
      </c>
    </row>
    <row r="4" spans="1:11" ht="15" thickBot="1">
      <c r="C4" s="845">
        <f>AVERAGE('Analisis semanal'!B17:B999996)</f>
        <v>10.143791259310404</v>
      </c>
      <c r="D4" s="846">
        <f>AVERAGE('Analisis semanal'!F21,'Analisis semanal'!F26,'Analisis semanal'!F46,'Analisis semanal'!F40,'Analisis semanal'!F51,'Analisis semanal'!F62,'Analisis semanal'!F71,'Analisis semanal'!F79,'Analisis semanal'!F86,'Analisis semanal'!F92,'Analisis semanal'!F100,'Analisis semanal'!F108,'Analisis semanal'!F112,'Analisis semanal'!F122,'Analisis semanal'!F126,'Analisis semanal'!F131,'Analisis semanal'!F136)</f>
        <v>1212.0125</v>
      </c>
      <c r="E4" s="847">
        <f>AVERAGE('Analisis semanal'!L4:L25000)</f>
        <v>187.59585317460318</v>
      </c>
      <c r="F4" s="848">
        <f>AVERAGE('Analisis semanal'!H4:H2600)</f>
        <v>0.76477780176069321</v>
      </c>
      <c r="G4" s="849">
        <f>AVERAGE(Data!G5:G1048576)</f>
        <v>26.144385026737968</v>
      </c>
      <c r="H4" s="849">
        <f>AVERAGE(Data!O34:O6504)</f>
        <v>5.75</v>
      </c>
      <c r="I4" s="1">
        <f>SUM(Data!O4:O1048576)</f>
        <v>201</v>
      </c>
      <c r="J4" s="1">
        <f>SUM(Data!P4:P81000)</f>
        <v>5106</v>
      </c>
      <c r="K4" s="849">
        <f>AVERAGE(Data!P40:P1048576)</f>
        <v>146.90625</v>
      </c>
    </row>
    <row r="7" spans="1:11" ht="15" thickBot="1">
      <c r="E7" s="264"/>
    </row>
    <row r="8" spans="1:11" ht="18.600000000000001" thickBot="1">
      <c r="D8" s="523" t="s">
        <v>11</v>
      </c>
      <c r="E8" s="523" t="s">
        <v>10</v>
      </c>
      <c r="F8" s="523" t="s">
        <v>9</v>
      </c>
      <c r="G8" s="566" t="s">
        <v>316</v>
      </c>
      <c r="H8" s="567" t="s">
        <v>360</v>
      </c>
      <c r="I8" s="568" t="s">
        <v>316</v>
      </c>
    </row>
    <row r="9" spans="1:11" ht="15" thickBot="1">
      <c r="D9" s="841">
        <f>SUM('Resumen meses'!H3:H10)</f>
        <v>47399.3</v>
      </c>
      <c r="E9" s="841">
        <f>SUM('Resumen meses'!G3:G10)</f>
        <v>11108.7</v>
      </c>
      <c r="F9" s="841">
        <f>SUM('Resumen meses'!F3:F10)</f>
        <v>37214.400000000001</v>
      </c>
      <c r="G9" s="842">
        <f>Ahorro!D11+700</f>
        <v>21400</v>
      </c>
      <c r="H9" s="841">
        <f>F9*0.01</f>
        <v>372.14400000000001</v>
      </c>
      <c r="I9" s="843">
        <f>G9/F9</f>
        <v>0.57504621866804251</v>
      </c>
    </row>
    <row r="10" spans="1:11">
      <c r="D10" s="844"/>
      <c r="E10" s="844"/>
      <c r="F10" s="844"/>
      <c r="G10" s="844"/>
      <c r="H10" s="844"/>
      <c r="I10" s="844"/>
    </row>
    <row r="12" spans="1:11" ht="15" thickBot="1"/>
    <row r="13" spans="1:11" ht="15" thickBot="1">
      <c r="A13" s="850" t="s">
        <v>361</v>
      </c>
      <c r="B13" s="851" t="s">
        <v>362</v>
      </c>
    </row>
    <row r="14" spans="1:11" ht="15">
      <c r="A14" s="852" t="s">
        <v>363</v>
      </c>
      <c r="B14" s="852" t="s">
        <v>364</v>
      </c>
    </row>
    <row r="15" spans="1:11" ht="15">
      <c r="A15" s="514" t="s">
        <v>365</v>
      </c>
      <c r="B15" s="514" t="s">
        <v>366</v>
      </c>
    </row>
    <row r="16" spans="1:11" ht="15">
      <c r="A16" s="514" t="s">
        <v>367</v>
      </c>
      <c r="B16" s="514" t="s">
        <v>368</v>
      </c>
    </row>
    <row r="17" spans="1:6" ht="15">
      <c r="A17" s="514" t="s">
        <v>369</v>
      </c>
      <c r="B17" s="514" t="s">
        <v>370</v>
      </c>
      <c r="F17" s="55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7"/>
  <sheetViews>
    <sheetView workbookViewId="0">
      <selection activeCell="E11" sqref="E11"/>
    </sheetView>
  </sheetViews>
  <sheetFormatPr defaultColWidth="10.7109375" defaultRowHeight="14.45"/>
  <cols>
    <col min="1" max="1" width="2.140625" style="124" customWidth="1"/>
    <col min="2" max="2" width="10.140625" style="153" customWidth="1"/>
    <col min="3" max="3" width="9.7109375" customWidth="1"/>
    <col min="4" max="4" width="10.28515625" customWidth="1"/>
    <col min="5" max="5" width="12.85546875" customWidth="1"/>
    <col min="6" max="6" width="11.28515625" customWidth="1"/>
    <col min="7" max="7" width="9.42578125" style="2" customWidth="1"/>
    <col min="8" max="8" width="9.140625" style="154" customWidth="1"/>
    <col min="9" max="9" width="10.140625" style="23" customWidth="1"/>
    <col min="10" max="10" width="9.7109375" style="23" customWidth="1"/>
    <col min="11" max="11" width="12.5703125" style="23" customWidth="1"/>
    <col min="12" max="12" width="11.42578125" style="23" customWidth="1"/>
    <col min="13" max="13" width="9.28515625" style="139" customWidth="1"/>
    <col min="14" max="14" width="11.140625" customWidth="1"/>
    <col min="15" max="15" width="10.140625" customWidth="1"/>
    <col min="16" max="16" width="8.85546875" customWidth="1"/>
    <col min="17" max="17" width="11.7109375" customWidth="1"/>
    <col min="18" max="18" width="8.85546875" customWidth="1"/>
    <col min="19" max="19" width="2.140625" style="124" customWidth="1"/>
    <col min="20" max="20" width="10.28515625" customWidth="1"/>
    <col min="21" max="22" width="9.7109375" customWidth="1"/>
    <col min="23" max="23" width="11.5703125" customWidth="1"/>
    <col min="24" max="24" width="9" customWidth="1"/>
    <col min="25" max="25" width="2.140625" style="124" customWidth="1"/>
  </cols>
  <sheetData>
    <row r="1" spans="1:25" ht="15" thickBot="1">
      <c r="B1"/>
      <c r="H1"/>
      <c r="I1"/>
      <c r="J1"/>
      <c r="K1"/>
      <c r="L1"/>
      <c r="M1" s="2"/>
    </row>
    <row r="2" spans="1:25" ht="15" thickBot="1">
      <c r="B2" s="1348" t="s">
        <v>371</v>
      </c>
      <c r="C2" s="1349"/>
      <c r="D2" s="1349"/>
      <c r="E2" s="1349"/>
      <c r="F2" s="1349"/>
      <c r="G2" s="1350"/>
      <c r="H2" s="1351" t="s">
        <v>372</v>
      </c>
      <c r="I2" s="1352"/>
      <c r="J2" s="1352"/>
      <c r="K2" s="1352"/>
      <c r="L2" s="1353"/>
      <c r="M2" s="1354"/>
      <c r="N2" s="1343" t="s">
        <v>231</v>
      </c>
      <c r="O2" s="1343"/>
      <c r="P2" s="1343"/>
      <c r="Q2" s="1343"/>
      <c r="R2" s="1344"/>
      <c r="T2" s="1345" t="s">
        <v>373</v>
      </c>
      <c r="U2" s="1346"/>
      <c r="V2" s="1346"/>
      <c r="W2" s="1346"/>
      <c r="X2" s="1347"/>
    </row>
    <row r="3" spans="1:25" ht="15" thickBot="1">
      <c r="A3" s="125"/>
      <c r="B3" s="187" t="s">
        <v>374</v>
      </c>
      <c r="C3" s="187" t="s">
        <v>375</v>
      </c>
      <c r="D3" s="187" t="s">
        <v>263</v>
      </c>
      <c r="E3" s="187" t="s">
        <v>376</v>
      </c>
      <c r="F3" s="187" t="s">
        <v>377</v>
      </c>
      <c r="G3" s="187" t="s">
        <v>378</v>
      </c>
      <c r="H3" s="187" t="s">
        <v>374</v>
      </c>
      <c r="I3" s="187" t="s">
        <v>375</v>
      </c>
      <c r="J3" s="187" t="s">
        <v>263</v>
      </c>
      <c r="K3" s="187" t="s">
        <v>376</v>
      </c>
      <c r="L3" s="187" t="s">
        <v>377</v>
      </c>
      <c r="M3" s="187" t="s">
        <v>378</v>
      </c>
      <c r="N3" s="187" t="s">
        <v>374</v>
      </c>
      <c r="O3" s="187" t="s">
        <v>375</v>
      </c>
      <c r="P3" s="187" t="s">
        <v>263</v>
      </c>
      <c r="Q3" s="187" t="s">
        <v>376</v>
      </c>
      <c r="R3" s="187" t="s">
        <v>377</v>
      </c>
      <c r="S3" s="190"/>
      <c r="T3" s="187" t="s">
        <v>374</v>
      </c>
      <c r="U3" s="187" t="s">
        <v>375</v>
      </c>
      <c r="V3" s="83" t="s">
        <v>263</v>
      </c>
      <c r="W3" s="83" t="s">
        <v>376</v>
      </c>
      <c r="X3" s="83" t="s">
        <v>377</v>
      </c>
      <c r="Y3" s="125"/>
    </row>
    <row r="4" spans="1:25">
      <c r="B4" s="172">
        <f>COUNTIF(Data!Q5:Q1048576,"city corto")</f>
        <v>151</v>
      </c>
      <c r="C4" s="167">
        <f>SUMIFS(Data!G4:G1048576,Data!Q4:Q1048576,"city corto")</f>
        <v>3783</v>
      </c>
      <c r="D4" s="168">
        <f>AVERAGEIFS('Analisis semanal'!D4:D1048576,'Analisis semanal'!C4:C1048576,"city corto")</f>
        <v>0.74807938492169546</v>
      </c>
      <c r="E4" s="169">
        <f>SUMIFS(Data!J4:J1048576,Data!Q4:Q1048576,"city corto")</f>
        <v>37457.800000000003</v>
      </c>
      <c r="F4" s="170">
        <f>C4/B4</f>
        <v>25.05298013245033</v>
      </c>
      <c r="G4" s="178">
        <f>E4/C4</f>
        <v>9.9016124768702092</v>
      </c>
      <c r="H4" s="172">
        <f>COUNTIF(Data!Q5:Q1048576,"city largo")</f>
        <v>12</v>
      </c>
      <c r="I4" s="167">
        <f>SUMIFS(Data!G4:G1048576,Data!Q4:Q1048576,"city largo")</f>
        <v>294</v>
      </c>
      <c r="J4" s="168">
        <f>AVERAGEIFS('Analisis semanal'!D4:D1048576,'Analisis semanal'!C4:C1048576,"city largo")</f>
        <v>0.79462108838246359</v>
      </c>
      <c r="K4" s="169">
        <f>SUMIFS(Data!J4:J1048576,Data!Q4:Q1048576,"city largo")</f>
        <v>2922</v>
      </c>
      <c r="L4" s="170">
        <f>I4/H4</f>
        <v>24.5</v>
      </c>
      <c r="M4" s="171">
        <f>K4/I4</f>
        <v>9.9387755102040813</v>
      </c>
      <c r="N4" s="88">
        <f>COUNTIF(Data!Q5:Q1048576,"reich")</f>
        <v>12</v>
      </c>
      <c r="O4" s="88">
        <f>SUMIFS(Data!G4:G1048576,Data!Q4:Q1048576,"reich")</f>
        <v>315</v>
      </c>
      <c r="P4" s="267">
        <f>AVERAGEIFS('Analisis semanal'!D4:D1048576,'Analisis semanal'!C4:C1048576,"reich")</f>
        <v>0.59698429881842785</v>
      </c>
      <c r="Q4" s="266">
        <f>SUMIFS(Data!J4:J1048576,Data!Q4:Q1048576,"reich")</f>
        <v>3113.5</v>
      </c>
      <c r="R4" s="334">
        <f>O4/N4</f>
        <v>26.25</v>
      </c>
      <c r="S4" s="152"/>
      <c r="T4" s="88">
        <f>COUNTIF(Data!Q5:Q1048576,"rojo")</f>
        <v>11</v>
      </c>
      <c r="U4" s="88">
        <f>SUMIFS(Data!G4:G1048576,Data!Q4:Q1048576,"rojo")</f>
        <v>221</v>
      </c>
      <c r="V4" s="267">
        <f>AVERAGEIFS('Analisis semanal'!D4:D1048576,'Analisis semanal'!C4:C1048576,"rojo")</f>
        <v>0.65466305507272249</v>
      </c>
      <c r="W4" s="335">
        <f>SUMIFS(Data!J4:J1048576,Data!Q4:Q1048576,"rojo")</f>
        <v>2206</v>
      </c>
      <c r="X4" s="334">
        <f>U4/T4</f>
        <v>20.09090909090909</v>
      </c>
    </row>
    <row r="5" spans="1:25" ht="15" thickBot="1">
      <c r="B5" s="155"/>
      <c r="C5" s="23"/>
      <c r="D5" s="132"/>
      <c r="E5" s="132"/>
      <c r="F5" s="23"/>
      <c r="G5" s="139"/>
      <c r="H5" s="155"/>
      <c r="K5" s="132"/>
    </row>
    <row r="6" spans="1:25" ht="15" thickBot="1">
      <c r="B6" s="83" t="s">
        <v>379</v>
      </c>
      <c r="C6" s="186" t="s">
        <v>380</v>
      </c>
      <c r="D6" s="83" t="s">
        <v>12</v>
      </c>
      <c r="E6" s="187" t="s">
        <v>381</v>
      </c>
      <c r="F6" s="129"/>
      <c r="G6" s="139"/>
      <c r="H6" s="83" t="s">
        <v>379</v>
      </c>
      <c r="I6" s="186" t="s">
        <v>380</v>
      </c>
      <c r="J6" s="83" t="s">
        <v>12</v>
      </c>
      <c r="K6" s="186" t="s">
        <v>381</v>
      </c>
      <c r="L6" s="129"/>
      <c r="N6" s="83" t="s">
        <v>379</v>
      </c>
      <c r="O6" s="186" t="s">
        <v>382</v>
      </c>
      <c r="P6" s="83" t="s">
        <v>12</v>
      </c>
      <c r="Q6" s="186" t="s">
        <v>381</v>
      </c>
      <c r="T6" s="83" t="s">
        <v>379</v>
      </c>
      <c r="U6" s="186" t="s">
        <v>382</v>
      </c>
      <c r="V6" s="83" t="s">
        <v>12</v>
      </c>
      <c r="W6" s="186" t="s">
        <v>381</v>
      </c>
    </row>
    <row r="7" spans="1:25">
      <c r="B7" s="174">
        <f>E4/B4</f>
        <v>248.06490066225169</v>
      </c>
      <c r="C7" s="162">
        <f>C4/B4</f>
        <v>25.05298013245033</v>
      </c>
      <c r="D7" s="99">
        <f>SUMIFS(Data!K4:K1048576,Data!Q4:Q1048576,"city corto")</f>
        <v>5204</v>
      </c>
      <c r="E7" s="166">
        <f>B7-(C7*2.5)</f>
        <v>185.43245033112586</v>
      </c>
      <c r="F7" s="23"/>
      <c r="G7" s="139"/>
      <c r="H7" s="173">
        <f>K4/H4</f>
        <v>243.5</v>
      </c>
      <c r="I7" s="162">
        <f>I4/H4</f>
        <v>24.5</v>
      </c>
      <c r="J7" s="23">
        <f>SUMIFS(Data!K4:K1048576,Data!Q4:Q1048576,"city largo")</f>
        <v>374</v>
      </c>
      <c r="K7" s="165">
        <f>I7*M4</f>
        <v>243.5</v>
      </c>
      <c r="N7" s="333">
        <f>Q4/N4</f>
        <v>259.45833333333331</v>
      </c>
      <c r="O7" s="332">
        <f>Q4/O4</f>
        <v>9.8841269841269845</v>
      </c>
      <c r="P7">
        <f>SUMIFS(Data!K4:K1048576,Data!Q4:Q1048576,"reich")</f>
        <v>517</v>
      </c>
      <c r="Q7" s="332">
        <f>R4*O7</f>
        <v>259.45833333333337</v>
      </c>
      <c r="T7" s="332">
        <f>W4/T4</f>
        <v>200.54545454545453</v>
      </c>
      <c r="U7" s="332">
        <f>W4/U4</f>
        <v>9.9819004524886878</v>
      </c>
      <c r="V7">
        <f>SUMIFS(Data!K4:K1048576,Data!Q4:Q1048576,"rojo")</f>
        <v>345</v>
      </c>
      <c r="W7" s="332">
        <f>X4*U7</f>
        <v>200.54545454545453</v>
      </c>
    </row>
    <row r="8" spans="1:25" ht="15" thickBot="1">
      <c r="B8" s="176"/>
      <c r="C8" s="102"/>
      <c r="D8" s="102"/>
      <c r="E8" s="102"/>
      <c r="F8" s="102"/>
      <c r="G8" s="177"/>
      <c r="H8" s="155"/>
      <c r="I8" s="132"/>
      <c r="J8" s="132"/>
      <c r="K8" s="132"/>
      <c r="L8" s="132"/>
      <c r="M8" s="156"/>
    </row>
    <row r="9" spans="1:25" ht="15" thickBot="1">
      <c r="B9" s="1348" t="s">
        <v>383</v>
      </c>
      <c r="C9" s="1349"/>
      <c r="D9" s="1349"/>
      <c r="E9" s="1349"/>
      <c r="F9" s="1349"/>
      <c r="G9" s="1350"/>
      <c r="H9" s="1355" t="s">
        <v>384</v>
      </c>
      <c r="I9" s="1356"/>
      <c r="J9" s="1356"/>
      <c r="K9" s="1356"/>
      <c r="L9" s="1356"/>
      <c r="M9" s="1357"/>
    </row>
    <row r="10" spans="1:25">
      <c r="B10" s="188" t="s">
        <v>374</v>
      </c>
      <c r="C10" s="188" t="s">
        <v>375</v>
      </c>
      <c r="D10" s="188" t="s">
        <v>263</v>
      </c>
      <c r="E10" s="188" t="s">
        <v>376</v>
      </c>
      <c r="F10" s="188" t="s">
        <v>377</v>
      </c>
      <c r="G10" s="188" t="s">
        <v>378</v>
      </c>
      <c r="H10" s="188" t="s">
        <v>374</v>
      </c>
      <c r="I10" s="188" t="s">
        <v>375</v>
      </c>
      <c r="J10" s="188" t="s">
        <v>263</v>
      </c>
      <c r="K10" s="188" t="s">
        <v>376</v>
      </c>
      <c r="L10" s="188" t="s">
        <v>377</v>
      </c>
      <c r="M10" s="188" t="s">
        <v>378</v>
      </c>
    </row>
    <row r="11" spans="1:25">
      <c r="B11" s="154">
        <f>COUNTIF(Data!F5:F1048576,"español")</f>
        <v>83</v>
      </c>
      <c r="C11" s="23">
        <f>SUMIFS(Data!G4:G1048576,Data!F4:F1048576,"español")</f>
        <v>2015</v>
      </c>
      <c r="D11" s="160">
        <f>C11/D14</f>
        <v>0.75242718446601942</v>
      </c>
      <c r="E11" s="161">
        <f>SUMIFS(Data!J4:J1048576,Data!F4:F1048576,"español")</f>
        <v>20374.400000000001</v>
      </c>
      <c r="F11" s="163">
        <f>C11/B11</f>
        <v>24.277108433734941</v>
      </c>
      <c r="G11" s="164">
        <f>E11/C11</f>
        <v>10.111364764267991</v>
      </c>
      <c r="H11" s="154">
        <f>COUNTIF(Data!F5:F1048576,"ingles")</f>
        <v>105</v>
      </c>
      <c r="I11" s="23">
        <f>SUMIFS(Data!G4:G1048576,Data!F4:F1048576,"ingles")</f>
        <v>2874</v>
      </c>
      <c r="J11" s="160">
        <f>I11/J14</f>
        <v>0.69386769676484794</v>
      </c>
      <c r="K11" s="159">
        <f>SUMIFS(Data!J4:J1048576,Data!F4:F1048576,"ingles")</f>
        <v>28193.9</v>
      </c>
      <c r="L11" s="163">
        <f>I11/H11</f>
        <v>27.37142857142857</v>
      </c>
      <c r="M11" s="164">
        <f>K11/I11</f>
        <v>9.8099860821155183</v>
      </c>
    </row>
    <row r="12" spans="1:25" ht="15" thickBot="1">
      <c r="B12" s="155"/>
      <c r="C12" s="23"/>
      <c r="D12" s="23"/>
      <c r="E12" s="23"/>
      <c r="F12" s="23"/>
      <c r="G12" s="139"/>
      <c r="H12" s="155"/>
      <c r="I12" s="132"/>
    </row>
    <row r="13" spans="1:25" ht="15" thickBot="1">
      <c r="B13" s="83" t="s">
        <v>379</v>
      </c>
      <c r="C13" s="186" t="s">
        <v>380</v>
      </c>
      <c r="D13" s="83" t="s">
        <v>12</v>
      </c>
      <c r="E13" s="23"/>
      <c r="F13" s="23"/>
      <c r="G13" s="139"/>
      <c r="H13" s="83" t="s">
        <v>379</v>
      </c>
      <c r="I13" s="186" t="s">
        <v>380</v>
      </c>
      <c r="J13" s="83" t="s">
        <v>12</v>
      </c>
    </row>
    <row r="14" spans="1:25">
      <c r="B14" s="174">
        <f>E11/B11</f>
        <v>245.47469879518073</v>
      </c>
      <c r="C14" s="162">
        <f>C11/B11</f>
        <v>24.277108433734941</v>
      </c>
      <c r="D14" s="23">
        <f>SUMIFS(Data!K4:K1048576,Data!F4:F1048576,"español")</f>
        <v>2678</v>
      </c>
      <c r="E14" s="23"/>
      <c r="F14" s="23"/>
      <c r="G14" s="139"/>
      <c r="H14" s="174">
        <f>K11/H11</f>
        <v>268.51333333333332</v>
      </c>
      <c r="I14" s="175">
        <f>I11/H11</f>
        <v>27.37142857142857</v>
      </c>
      <c r="J14" s="23">
        <f>SUMIFS(Data!K4:K1048576,Data!F4:F1048576,"ingles")</f>
        <v>4142</v>
      </c>
    </row>
    <row r="15" spans="1:25">
      <c r="B15" s="154"/>
      <c r="C15" s="23"/>
      <c r="D15" s="23"/>
      <c r="E15" s="23"/>
      <c r="F15" s="23"/>
      <c r="G15" s="139"/>
    </row>
    <row r="16" spans="1:25" ht="15" thickBot="1">
      <c r="B16" s="176"/>
      <c r="C16" s="102"/>
      <c r="D16" s="102"/>
      <c r="E16" s="102"/>
      <c r="F16" s="102"/>
      <c r="G16" s="177"/>
      <c r="H16" s="176"/>
      <c r="I16" s="102"/>
      <c r="J16" s="102"/>
      <c r="K16" s="102"/>
      <c r="L16" s="102"/>
      <c r="M16" s="177"/>
    </row>
    <row r="17" spans="8:13">
      <c r="H17" s="157"/>
      <c r="I17" s="99"/>
      <c r="J17" s="99"/>
      <c r="K17" s="99"/>
      <c r="L17" s="99"/>
      <c r="M17" s="158"/>
    </row>
  </sheetData>
  <mergeCells count="6">
    <mergeCell ref="N2:R2"/>
    <mergeCell ref="T2:X2"/>
    <mergeCell ref="B2:G2"/>
    <mergeCell ref="H2:M2"/>
    <mergeCell ref="B9:G9"/>
    <mergeCell ref="H9:M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1"/>
  <sheetViews>
    <sheetView workbookViewId="0">
      <selection activeCell="F9" sqref="F9"/>
    </sheetView>
  </sheetViews>
  <sheetFormatPr defaultColWidth="10.7109375" defaultRowHeight="14.45"/>
  <cols>
    <col min="2" max="2" width="18.28515625" customWidth="1"/>
    <col min="3" max="5" width="16.28515625" customWidth="1"/>
    <col min="6" max="6" width="13" customWidth="1"/>
    <col min="7" max="7" width="20.42578125" customWidth="1"/>
  </cols>
  <sheetData>
    <row r="2" spans="1:8" ht="15" thickBot="1"/>
    <row r="3" spans="1:8" ht="15" thickBot="1">
      <c r="A3" s="208" t="s">
        <v>385</v>
      </c>
      <c r="B3" s="209" t="s">
        <v>386</v>
      </c>
      <c r="C3" s="210" t="s">
        <v>387</v>
      </c>
      <c r="D3" s="210" t="s">
        <v>388</v>
      </c>
      <c r="E3" s="211" t="s">
        <v>389</v>
      </c>
      <c r="F3" s="212" t="s">
        <v>390</v>
      </c>
      <c r="G3" s="213" t="s">
        <v>391</v>
      </c>
      <c r="H3" s="208" t="s">
        <v>354</v>
      </c>
    </row>
    <row r="4" spans="1:8" ht="15" thickBot="1">
      <c r="A4" s="214" t="s">
        <v>44</v>
      </c>
      <c r="B4" s="217">
        <f>COUNTIF('Analisis semanal'!A4:A618,"lunes")</f>
        <v>22</v>
      </c>
      <c r="C4" s="217">
        <f>SUMIFS(Data!G4:G1048576,Data!C4:C1048576,"lunes")</f>
        <v>595</v>
      </c>
      <c r="D4" s="522">
        <f>C4/B4</f>
        <v>27.045454545454547</v>
      </c>
      <c r="E4" s="218">
        <f>SUMIFS(Data!J4:J1048576,Data!C4:C1048576,"lunes")</f>
        <v>5986.5</v>
      </c>
      <c r="F4" s="219">
        <f t="shared" ref="F4:F10" si="0">E4/B4</f>
        <v>272.11363636363637</v>
      </c>
      <c r="G4" s="219">
        <f t="shared" ref="G4:G10" si="1">F4/D4</f>
        <v>10.061344537815126</v>
      </c>
      <c r="H4" s="230">
        <f>AVERAGEIFS('Analisis semanal'!D4:D1048576,'Analisis semanal'!A4:A1048576,"lunes")</f>
        <v>0.69202530467164147</v>
      </c>
    </row>
    <row r="5" spans="1:8" ht="15" thickBot="1">
      <c r="A5" s="215" t="s">
        <v>392</v>
      </c>
      <c r="B5" s="220">
        <f>COUNTIF('Analisis semanal'!A4:A522,"martes")</f>
        <v>20</v>
      </c>
      <c r="C5" s="220">
        <f>SUMIFS(Data!G4:G1048576,Data!C4:C1048576,"martes")</f>
        <v>501</v>
      </c>
      <c r="D5" s="221">
        <f t="shared" ref="D5:D10" si="2">C5/B5</f>
        <v>25.05</v>
      </c>
      <c r="E5" s="222">
        <f>SUMIFS(Data!J4:J1048576,Data!C4:C1048576,"martes")</f>
        <v>5162</v>
      </c>
      <c r="F5" s="223">
        <f t="shared" si="0"/>
        <v>258.10000000000002</v>
      </c>
      <c r="G5" s="224">
        <f t="shared" si="1"/>
        <v>10.303393213572855</v>
      </c>
      <c r="H5" s="230">
        <f>AVERAGEIFS('Analisis semanal'!D4:D1048576,'Analisis semanal'!A4:A1048576,"martes")</f>
        <v>0.74061725244176546</v>
      </c>
    </row>
    <row r="6" spans="1:8" ht="15" thickBot="1">
      <c r="A6" s="215" t="s">
        <v>393</v>
      </c>
      <c r="B6" s="220">
        <f>COUNTIF('Analisis semanal'!A4:A436,"miercoles")</f>
        <v>20</v>
      </c>
      <c r="C6" s="220">
        <f>SUMIFS(Data!G4:G1048576,Data!C4:C1048576,"miercoles")</f>
        <v>418</v>
      </c>
      <c r="D6" s="221">
        <f t="shared" si="2"/>
        <v>20.9</v>
      </c>
      <c r="E6" s="222">
        <f>SUMIFS(Data!J4:J1048576,Data!C4:C1048576,"miercoles")</f>
        <v>4450.3999999999996</v>
      </c>
      <c r="F6" s="223">
        <f t="shared" si="0"/>
        <v>222.51999999999998</v>
      </c>
      <c r="G6" s="224">
        <f t="shared" si="1"/>
        <v>10.64688995215311</v>
      </c>
      <c r="H6" s="230">
        <f>AVERAGEIFS('Analisis semanal'!D4:D1048576,'Analisis semanal'!A4:A1048576,"miercoles")</f>
        <v>0.76358253730449877</v>
      </c>
    </row>
    <row r="7" spans="1:8" ht="15" thickBot="1">
      <c r="A7" s="215" t="s">
        <v>50</v>
      </c>
      <c r="B7" s="220">
        <f>COUNTIF('Analisis semanal'!A4:A436,"jueves")</f>
        <v>23</v>
      </c>
      <c r="C7" s="220">
        <f>SUMIFS(Data!G4:G1048576,Data!C4:C1048576,"jueves")</f>
        <v>641</v>
      </c>
      <c r="D7" s="221">
        <f t="shared" si="2"/>
        <v>27.869565217391305</v>
      </c>
      <c r="E7" s="222">
        <f>SUMIFS(Data!J4:J1048576,Data!C4:C1048576,"jueves")</f>
        <v>5883.5</v>
      </c>
      <c r="F7" s="223">
        <f t="shared" si="0"/>
        <v>255.80434782608697</v>
      </c>
      <c r="G7" s="224">
        <f t="shared" si="1"/>
        <v>9.1786271450858035</v>
      </c>
      <c r="H7" s="230">
        <f>AVERAGEIFS('Analisis semanal'!D4:D1048576,'Analisis semanal'!A4:A1048576,"jueves")</f>
        <v>0.78350913211982331</v>
      </c>
    </row>
    <row r="8" spans="1:8" ht="15" thickBot="1">
      <c r="A8" s="215" t="s">
        <v>36</v>
      </c>
      <c r="B8" s="220">
        <f>COUNTIF('Analisis semanal'!A4:A436,"viernes")</f>
        <v>25</v>
      </c>
      <c r="C8" s="220">
        <f>SUMIFS(Data!G4:G1048576,Data!C4:C1048576,"viernes")</f>
        <v>709</v>
      </c>
      <c r="D8" s="221">
        <f t="shared" si="2"/>
        <v>28.36</v>
      </c>
      <c r="E8" s="222">
        <f>SUMIFS(Data!J4:J1048576,Data!C4:C1048576,"viernes")</f>
        <v>6808</v>
      </c>
      <c r="F8" s="223">
        <f t="shared" si="0"/>
        <v>272.32</v>
      </c>
      <c r="G8" s="224">
        <f t="shared" si="1"/>
        <v>9.6022566995768681</v>
      </c>
      <c r="H8" s="230">
        <f>AVERAGEIFS('Analisis semanal'!D4:D1048576,'Analisis semanal'!A4:A1048576,"viernes")</f>
        <v>0.77812580684803789</v>
      </c>
    </row>
    <row r="9" spans="1:8" ht="15" thickBot="1">
      <c r="A9" s="215" t="s">
        <v>394</v>
      </c>
      <c r="B9" s="220">
        <f>COUNTIF('Analisis semanal'!A4:A436,"sabado")</f>
        <v>43</v>
      </c>
      <c r="C9" s="220">
        <f>SUMIFS(Data!G4:G1048576,Data!C4:C1048576,"sabado")</f>
        <v>1211</v>
      </c>
      <c r="D9" s="221">
        <f t="shared" si="2"/>
        <v>28.162790697674417</v>
      </c>
      <c r="E9" s="222">
        <f>SUMIFS(Data!J4:J1048576,Data!C4:C1048576,"sabado")</f>
        <v>11943.5</v>
      </c>
      <c r="F9" s="223">
        <f t="shared" si="0"/>
        <v>277.75581395348837</v>
      </c>
      <c r="G9" s="224">
        <f t="shared" si="1"/>
        <v>9.8625103220478945</v>
      </c>
      <c r="H9" s="230">
        <f>AVERAGEIFS('Analisis semanal'!D4:D1048576,'Analisis semanal'!A4:A1048576,"sabado")</f>
        <v>0.71831833911327947</v>
      </c>
    </row>
    <row r="10" spans="1:8" ht="15" thickBot="1">
      <c r="A10" s="216" t="s">
        <v>254</v>
      </c>
      <c r="B10" s="225">
        <f>COUNTIF('Analisis semanal'!A4:A436,"domingo")</f>
        <v>35</v>
      </c>
      <c r="C10" s="225">
        <f>SUMIFS(Data!G4:G1048576,Data!C4:C1048576,"domingo")</f>
        <v>814</v>
      </c>
      <c r="D10" s="226">
        <f t="shared" si="2"/>
        <v>23.257142857142856</v>
      </c>
      <c r="E10" s="227">
        <f>SUMIFS(Data!J4:J1048576,Data!C4:C1048576,"domingo")</f>
        <v>8334.4</v>
      </c>
      <c r="F10" s="228">
        <f t="shared" si="0"/>
        <v>238.12571428571428</v>
      </c>
      <c r="G10" s="229">
        <f t="shared" si="1"/>
        <v>10.23882063882064</v>
      </c>
      <c r="H10" s="230">
        <f>AVERAGEIFS('Analisis semanal'!D4:D1048576,'Analisis semanal'!A4:A1048576,"domingo")</f>
        <v>0.70296772971215882</v>
      </c>
    </row>
    <row r="11" spans="1:8" ht="15" thickBot="1">
      <c r="B11" s="144">
        <f>SUM(B4:B10)</f>
        <v>188</v>
      </c>
      <c r="C11" s="1">
        <f>SUM(C4:C10)</f>
        <v>4889</v>
      </c>
      <c r="D11" s="756">
        <f>AVERAGE(D4:D10)</f>
        <v>25.806421902523308</v>
      </c>
      <c r="E11" s="233">
        <f>SUM(E4:E10)</f>
        <v>48568.3</v>
      </c>
      <c r="F11" s="234">
        <f>AVERAGE(F4:F10)</f>
        <v>256.67707320413228</v>
      </c>
      <c r="G11" s="231">
        <f>AVERAGE(G4:G10)</f>
        <v>9.9848346441531852</v>
      </c>
      <c r="H11" s="232">
        <f>AVERAGE(H4:H10)</f>
        <v>0.73987801460160063</v>
      </c>
    </row>
  </sheetData>
  <conditionalFormatting sqref="F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{EAA037AD-F601-4529-9F16-63D5B69F0C45}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A037AD-F601-4529-9F16-63D5B69F0C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rodrigo arbea cabrera</cp:lastModifiedBy>
  <cp:revision/>
  <dcterms:created xsi:type="dcterms:W3CDTF">2023-01-10T10:36:40Z</dcterms:created>
  <dcterms:modified xsi:type="dcterms:W3CDTF">2023-09-05T14:25:53Z</dcterms:modified>
  <cp:category/>
  <cp:contentStatus/>
</cp:coreProperties>
</file>